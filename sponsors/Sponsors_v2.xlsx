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ipeline A-B" sheetId="2" state="visible" r:id="rId2"/>
    <sheet xmlns:r="http://schemas.openxmlformats.org/officeDocument/2006/relationships" name="Later (tier C)" sheetId="3" state="visible" r:id="rId3"/>
    <sheet xmlns:r="http://schemas.openxmlformats.org/officeDocument/2006/relationships" name="This week's 40" sheetId="4" state="visible" r:id="rId4"/>
    <sheet xmlns:r="http://schemas.openxmlformats.org/officeDocument/2006/relationships" name="Partners &amp; media" sheetId="5" state="visible" r:id="rId5"/>
    <sheet xmlns:r="http://schemas.openxmlformats.org/officeDocument/2006/relationships" name="Exit buyers" sheetId="6" state="visible" r:id="rId6"/>
    <sheet xmlns:r="http://schemas.openxmlformats.org/officeDocument/2006/relationships" name="Chambers &amp; embassies" sheetId="7" state="visible" r:id="rId7"/>
    <sheet xmlns:r="http://schemas.openxmlformats.org/officeDocument/2006/relationships" name="Excluded (agencies)" sheetId="8" state="visible" r:id="rId8"/>
    <sheet xmlns:r="http://schemas.openxmlformats.org/officeDocument/2006/relationships" name="Settings" sheetId="9" state="visible" r:id="rId9"/>
  </sheets>
  <definedNames>
    <definedName name="_xlnm._FilterDatabase" localSheetId="1" hidden="1">'Pipeline A-B'!$A$1:$V$132</definedName>
    <definedName name="_xlnm._FilterDatabase" localSheetId="2" hidden="1">'Later (tier C)'!$A$1:$V$70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 &quot;€&quot;;(#,##0 &quot;€&quot;);&quot;-&quot;"/>
    <numFmt numFmtId="165" formatCode="0%;(0%);&quot;-&quot;"/>
    <numFmt numFmtId="166" formatCode="0.0x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i val="1"/>
      <color rgb="005D6672"/>
      <sz val="9"/>
    </font>
    <font>
      <name val="Arial"/>
      <b val="1"/>
      <sz val="10"/>
    </font>
    <font>
      <name val="Arial"/>
      <color rgb="001F5F8B"/>
      <sz val="10"/>
      <u val="single"/>
    </font>
    <font>
      <name val="Arial"/>
      <b val="1"/>
      <sz val="13"/>
    </font>
  </fonts>
  <fills count="6">
    <fill>
      <patternFill/>
    </fill>
    <fill>
      <patternFill patternType="gray125"/>
    </fill>
    <fill>
      <patternFill patternType="solid">
        <fgColor rgb="0016202C"/>
      </patternFill>
    </fill>
    <fill>
      <patternFill patternType="solid">
        <fgColor rgb="00FFFF00"/>
      </patternFill>
    </fill>
    <fill>
      <patternFill patternType="solid">
        <fgColor rgb="00D6E4EF"/>
      </patternFill>
    </fill>
    <fill>
      <patternFill patternType="solid">
        <fgColor rgb="00EEF3F7"/>
      </patternFill>
    </fill>
  </fills>
  <borders count="2">
    <border>
      <left/>
      <right/>
      <top/>
      <bottom/>
      <diagonal/>
    </border>
    <border>
      <bottom style="thin">
        <color rgb="00DFE3E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8" fillId="0" borderId="0" pivotButton="0" quotePrefix="0" xfId="0"/>
    <xf numFmtId="0" fontId="5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6" fillId="0" borderId="0" pivotButton="0" quotePrefix="0" xfId="0"/>
    <xf numFmtId="164" fontId="6" fillId="0" borderId="0" pivotButton="0" quotePrefix="0" xfId="0"/>
    <xf numFmtId="9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/>
    </xf>
    <xf numFmtId="165" fontId="3" fillId="0" borderId="1" applyAlignment="1" pivotButton="0" quotePrefix="0" xfId="0">
      <alignment vertical="top"/>
    </xf>
    <xf numFmtId="3" fontId="3" fillId="0" borderId="1" applyAlignment="1" pivotButton="0" quotePrefix="0" xfId="0">
      <alignment vertical="top"/>
    </xf>
    <xf numFmtId="0" fontId="3" fillId="5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pivotButton="0" quotePrefix="0" xfId="0"/>
    <xf numFmtId="164" fontId="4" fillId="3" borderId="0" pivotButton="0" quotePrefix="0" xfId="0"/>
    <xf numFmtId="165" fontId="4" fillId="3" borderId="0" pivotButton="0" quotePrefix="0" xfId="0"/>
    <xf numFmtId="166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pressoemprego.pt/emprego/international-investment-advisor-financial-advisor/2428178" TargetMode="External" Id="rId1"/><Relationship Type="http://schemas.openxmlformats.org/officeDocument/2006/relationships/hyperlink" Target="https://www.expatfocus.com/?p=51322" TargetMode="External" Id="rId2"/><Relationship Type="http://schemas.openxmlformats.org/officeDocument/2006/relationships/hyperlink" Target="https://finalib.fr/blog/fiscalite/expatriation-fiscale-2026-quitter-france-impots" TargetMode="External" Id="rId3"/><Relationship Type="http://schemas.openxmlformats.org/officeDocument/2006/relationships/hyperlink" Target="https://podcastaddict.com/episode/https%3A%2F%2Fwww.podtrac.com%2Fpts%2Fredirect.mp3%2Ftraffic.megaphone.fm%2FTPGL5408537107.mp3&amp;podcastId=6068358" TargetMode="External" Id="rId4"/><Relationship Type="http://schemas.openxmlformats.org/officeDocument/2006/relationships/hyperlink" Target="https://www.kiplinger.com/author/ricardo-jesus-mba" TargetMode="External" Id="rId5"/><Relationship Type="http://schemas.openxmlformats.org/officeDocument/2006/relationships/hyperlink" Target="https://altss.com/profile/lisbon-family-office" TargetMode="External" Id="rId6"/><Relationship Type="http://schemas.openxmlformats.org/officeDocument/2006/relationships/hyperlink" Target="https://neofa.com/fr/fiscalite/fiscalite-des-particuliers/conseil-fiscalite-internationale/exit-tax-france/" TargetMode="External" Id="rId7"/><Relationship Type="http://schemas.openxmlformats.org/officeDocument/2006/relationships/hyperlink" Target="https://chambers.com/department/millennium-bcp-private-banks-high-net-worth-21:2699:174:1:249515" TargetMode="External" Id="rId8"/><Relationship Type="http://schemas.openxmlformats.org/officeDocument/2006/relationships/hyperlink" Target="https://www.portugalresident.com/the-bank-for-people-of-the-world-in-portugal/" TargetMode="External" Id="rId9"/><Relationship Type="http://schemas.openxmlformats.org/officeDocument/2006/relationships/hyperlink" Target="https://international-adviser.com/blacktower-unveils-portugal-expat-service-for-us-nationals/" TargetMode="External" Id="rId10"/><Relationship Type="http://schemas.openxmlformats.org/officeDocument/2006/relationships/hyperlink" Target="https://www.dixcart.com/es/?p=612" TargetMode="External" Id="rId11"/><Relationship Type="http://schemas.openxmlformats.org/officeDocument/2006/relationships/hyperlink" Target="https://www.portugalresident.com/80-of-viceroy-residents-already-sold-at-ombria/" TargetMode="External" Id="rId12"/><Relationship Type="http://schemas.openxmlformats.org/officeDocument/2006/relationships/hyperlink" Target="https://econews.pt/2026/06/04/karl-lagerfeld-residences-launches-sales-in-10-markets/" TargetMode="External" Id="rId13"/><Relationship Type="http://schemas.openxmlformats.org/officeDocument/2006/relationships/hyperlink" Target="https://www.essential-business.pt/2024/06/14/rivage-invests-e20-million-in-homes-near-porto/" TargetMode="External" Id="rId14"/><Relationship Type="http://schemas.openxmlformats.org/officeDocument/2006/relationships/hyperlink" Target="https://www.sableinternational.com/blog/living-in-portugal--is-your-wealth-plan-keeping-up" TargetMode="External" Id="rId15"/><Relationship Type="http://schemas.openxmlformats.org/officeDocument/2006/relationships/hyperlink" Target="https://www.sovereigngroup.com/news/the-ifici-a-sharper-edge-for-attracting-global-talent-to-portugal/" TargetMode="External" Id="rId16"/><Relationship Type="http://schemas.openxmlformats.org/officeDocument/2006/relationships/hyperlink" Target="https://www.idealista.pt/en/news/node/71011" TargetMode="External" Id="rId17"/><Relationship Type="http://schemas.openxmlformats.org/officeDocument/2006/relationships/hyperlink" Target="https://www.idealista.pt/en/news/node/61843" TargetMode="External" Id="rId18"/><Relationship Type="http://schemas.openxmlformats.org/officeDocument/2006/relationships/hyperlink" Target="https://www.idealista.pt/news/node/75369" TargetMode="External" Id="rId19"/><Relationship Type="http://schemas.openxmlformats.org/officeDocument/2006/relationships/hyperlink" Target="https://www.idealista.pt/en/news/luxury-real-estate-in-portugal/2025/02/06/67912-vale-do-lobo-in-the-algarve-invests-over-eu200-million-in-luxury-homes" TargetMode="External" Id="rId20"/><Relationship Type="http://schemas.openxmlformats.org/officeDocument/2006/relationships/hyperlink" Target="https://www.suno.com.br/noticias/bradesco-estuda-atender-milionarios-portugal" TargetMode="External" Id="rId21"/><Relationship Type="http://schemas.openxmlformats.org/officeDocument/2006/relationships/hyperlink" Target="https://www.degroofpetercam.com/en-lu/resident-in-portugal" TargetMode="External" Id="rId22"/><Relationship Type="http://schemas.openxmlformats.org/officeDocument/2006/relationships/hyperlink" Target="https://www.idealista.com/news/etiquetas/comporta" TargetMode="External" Id="rId23"/><Relationship Type="http://schemas.openxmlformats.org/officeDocument/2006/relationships/hyperlink" Target="https://www.bloomberglinea.com.br/2025/03/26/de-saida-do-brasil-julius-baer-planeja-abrir-escritorio-em-lisboa-e-mira-estrangeiros/" TargetMode="External" Id="rId24"/><Relationship Type="http://schemas.openxmlformats.org/officeDocument/2006/relationships/hyperlink" Target="https://www.privatebankerinternational.com/newsletters/indosuez-wealth-management-sets-up-branch-in-portugal" TargetMode="External" Id="rId25"/><Relationship Type="http://schemas.openxmlformats.org/officeDocument/2006/relationships/hyperlink" Target="https://www.internationaltaxreview.com/itrworldtax/firms/morais-leitao-galvao-teles-soares-da-silva-associados-portugal" TargetMode="External" Id="rId26"/><Relationship Type="http://schemas.openxmlformats.org/officeDocument/2006/relationships/hyperlink" Target="https://www.bloombergquint.com/onweb/rich-brazilians-moving-to-portugal-pull-local-bankers-with-them" TargetMode="External" Id="rId27"/><Relationship Type="http://schemas.openxmlformats.org/officeDocument/2006/relationships/hyperlink" Target="https://chambers.com/department/vda-vieira-de-almeida-private-wealth-law-high-net-worth-21:2633:174:1:3970" TargetMode="External" Id="rId28"/><Relationship Type="http://schemas.openxmlformats.org/officeDocument/2006/relationships/hyperlink" Target="https://chambers.com/department/andersen-private-wealth-law-high-net-worth-21:2633:174:1:22620317" TargetMode="External" Id="rId29"/><Relationship Type="http://schemas.openxmlformats.org/officeDocument/2006/relationships/hyperlink" Target="https://www.essential-business.pt/2019/12/08/btg-pactual-enters-portuguese-banking-market/" TargetMode="External" Id="rId30"/><Relationship Type="http://schemas.openxmlformats.org/officeDocument/2006/relationships/hyperlink" Target="https://cms.law/en/prt/news-information/cms-portugal-and-nuno-figueiroa-santos-highlighted-in-the-chambers-and-partners-high-net-worth-guide" TargetMode="External" Id="rId31"/><Relationship Type="http://schemas.openxmlformats.org/officeDocument/2006/relationships/hyperlink" Target="https://cleerly.fr/retraite/portugal" TargetMode="External" Id="rId32"/><Relationship Type="http://schemas.openxmlformats.org/officeDocument/2006/relationships/hyperlink" Target="https://compassurance.ch/retirer-2eme-pilier-quitter-suisse/" TargetMode="External" Id="rId33"/><Relationship Type="http://schemas.openxmlformats.org/officeDocument/2006/relationships/hyperlink" Target="https://creativeplanning.com/international/insights/financial-planning/9-critical-financial-planning-considerations-for-american-expats-living-in-portugal/" TargetMode="External" Id="rId34"/><Relationship Type="http://schemas.openxmlformats.org/officeDocument/2006/relationships/hyperlink" Target="https://www.deloitte.com/pt/pt/services/legal/blogs/news/deloitte-legal-telles-band-1-private-wealth-law.html" TargetMode="External" Id="rId35"/><Relationship Type="http://schemas.openxmlformats.org/officeDocument/2006/relationships/hyperlink" Target="https://fresh-legal.com/us" TargetMode="External" Id="rId36"/><Relationship Type="http://schemas.openxmlformats.org/officeDocument/2006/relationships/hyperlink" Target="https://www.hagnere-patrimoine.fr/gestion-de-patrimoine-expatrie-portugal" TargetMode="External" Id="rId37"/><Relationship Type="http://schemas.openxmlformats.org/officeDocument/2006/relationships/hyperlink" Target="https://www.essential-business.pt/2025/03/27/swiss-wealth-management-and-investment-bank-julius-baer-to-open-lisbon-office/" TargetMode="External" Id="rId38"/><Relationship Type="http://schemas.openxmlformats.org/officeDocument/2006/relationships/hyperlink" Target="https://www.essential-business.pt/2025/11/21/krest-unveils-formoso-marvila-residential-development-in-lisbon/" TargetMode="External" Id="rId39"/><Relationship Type="http://schemas.openxmlformats.org/officeDocument/2006/relationships/hyperlink" Target="https://uk.trustpilot.com/review/taxbordr.com" TargetMode="External" Id="rId40"/><Relationship Type="http://schemas.openxmlformats.org/officeDocument/2006/relationships/hyperlink" Target="https://spectrum-ifa.com/expat-financial-advice-in-portugal/" TargetMode="External" Id="rId41"/><Relationship Type="http://schemas.openxmlformats.org/officeDocument/2006/relationships/hyperlink" Target="https://luxuriousmagazine.com/vilamoura-world-new-residential-projects" TargetMode="External" Id="rId42"/><Relationship Type="http://schemas.openxmlformats.org/officeDocument/2006/relationships/hyperlink" Target="https://www.dnoticias.pt/2024/11/13/427070-yard-properties-investe-no-funchal-com-projecto-residencial-de-luxo/" TargetMode="External" Id="rId43"/><Relationship Type="http://schemas.openxmlformats.org/officeDocument/2006/relationships/hyperlink" Target="https://www.privatebankerinternational.com/news/efg-lisbon-portugal/" TargetMode="External" Id="rId44"/><Relationship Type="http://schemas.openxmlformats.org/officeDocument/2006/relationships/hyperlink" Target="https://www.finews.ch/news/banken/45646-lombard-odier-brasilien-sao-paulo-matteo-dignola" TargetMode="External" Id="rId45"/><Relationship Type="http://schemas.openxmlformats.org/officeDocument/2006/relationships/hyperlink" Target="https://www.abanca.pt/pt/residentes-suica/" TargetMode="External" Id="rId46"/><Relationship Type="http://schemas.openxmlformats.org/officeDocument/2006/relationships/hyperlink" Target="https://lusojornal.com/salao-do-imobiliario-e-do-investimento-portugues-muda-se-para-a-porte-de-champeret/" TargetMode="External" Id="rId47"/><Relationship Type="http://schemas.openxmlformats.org/officeDocument/2006/relationships/hyperlink" Target="https://lusopress.tv/wp-content/uploads/2023/07/lusopress_125.pdf" TargetMode="External" Id="rId48"/><Relationship Type="http://schemas.openxmlformats.org/officeDocument/2006/relationships/hyperlink" Target="https://www.eurodicas.com.br/conexao-europa-imoveis/" TargetMode="External" Id="rId49"/><Relationship Type="http://schemas.openxmlformats.org/officeDocument/2006/relationships/hyperlink" Target="https://lusojornal.com/salao-do-imobiliario-e-do-investimento-portugues-muda-se-para-a-porte-de-champeret/" TargetMode="External" Id="rId50"/><Relationship Type="http://schemas.openxmlformats.org/officeDocument/2006/relationships/hyperlink" Target="https://www.dnoticias.pt/2022/12/21/340949-o-processo-de-abertura-de-uma-conta-bancaria-em-portugal/" TargetMode="External" Id="rId51"/><Relationship Type="http://schemas.openxmlformats.org/officeDocument/2006/relationships/hyperlink" Target="https://lusopress.tv/wp-content/uploads/2023/07/lusopress_125.pdf" TargetMode="External" Id="rId52"/><Relationship Type="http://schemas.openxmlformats.org/officeDocument/2006/relationships/hyperlink" Target="https://www.santander.pt/portugueses-residentes-exterior" TargetMode="External" Id="rId53"/><Relationship Type="http://schemas.openxmlformats.org/officeDocument/2006/relationships/hyperlink" Target="https://br.ebury.com/blog/vou-comprar-um-imovel-em-portugal-e-agora-como-faco-o-pagamento" TargetMode="External" Id="rId54"/><Relationship Type="http://schemas.openxmlformats.org/officeDocument/2006/relationships/hyperlink" Target="https://lusopress.tv/wp-content/uploads/2018/12/10nomes10historias_3.pdf" TargetMode="External" Id="rId55"/><Relationship Type="http://schemas.openxmlformats.org/officeDocument/2006/relationships/hyperlink" Target="https://www.idealista.pt/news/node/26913" TargetMode="External" Id="rId56"/><Relationship Type="http://schemas.openxmlformats.org/officeDocument/2006/relationships/hyperlink" Target="https://anchorless.io/fr/partenaires/cafimo" TargetMode="External" Id="rId57"/><Relationship Type="http://schemas.openxmlformats.org/officeDocument/2006/relationships/hyperlink" Target="https://www.bleap.finance/pt-br/blog/como-enviar-dinheiro-do-brasil-para-portugal" TargetMode="External" Id="rId58"/><Relationship Type="http://schemas.openxmlformats.org/officeDocument/2006/relationships/hyperlink" Target="https://crncontabilidade.pt/?p=21253" TargetMode="External" Id="rId59"/><Relationship Type="http://schemas.openxmlformats.org/officeDocument/2006/relationships/hyperlink" Target="https://investnews.com.br/financas/entre-estrangeiros-brasileiros-lideram-busca-por-imoveis-de-luxo-em-pontos-nobres-de-portugal/amp/" TargetMode="External" Id="rId60"/><Relationship Type="http://schemas.openxmlformats.org/officeDocument/2006/relationships/hyperlink" Target="https://anchorless.io/fr/partenaires/cafimo" TargetMode="External" Id="rId61"/><Relationship Type="http://schemas.openxmlformats.org/officeDocument/2006/relationships/hyperlink" Target="https://www.cidadaniaevisto.com.br/blog/quanto-custa-mudanca-brasil-para-portugal" TargetMode="External" Id="rId62"/><Relationship Type="http://schemas.openxmlformats.org/officeDocument/2006/relationships/hyperlink" Target="https://www.euodia.fr/succession/portugal/" TargetMode="External" Id="rId63"/><Relationship Type="http://schemas.openxmlformats.org/officeDocument/2006/relationships/hyperlink" Target="https://en.paperjam.lu/club/event/paperjam-10x6-decisao-the-portuguese-business-community-in-action" TargetMode="External" Id="rId64"/><Relationship Type="http://schemas.openxmlformats.org/officeDocument/2006/relationships/hyperlink" Target="https://www.portugalresidencyadvisors.com/pt-br/advogado-imobiliario-portugal/" TargetMode="External" Id="rId65"/><Relationship Type="http://schemas.openxmlformats.org/officeDocument/2006/relationships/hyperlink" Target="https://www.lemondedudroit.fr/vie-des-cabinets/102561-emilie-silva-fonde-silva-avocat-partners.html" TargetMode="External" Id="rId66"/><Relationship Type="http://schemas.openxmlformats.org/officeDocument/2006/relationships/hyperlink" Target="https://www.ibani.com/pt/guias/levantar-2-pilar-imovel-estrangeiro" TargetMode="External" Id="rId67"/><Relationship Type="http://schemas.openxmlformats.org/officeDocument/2006/relationships/hyperlink" Target="https://www.eurodicas.com.br/comprar-casa-em-portugal/" TargetMode="External" Id="rId68"/><Relationship Type="http://schemas.openxmlformats.org/officeDocument/2006/relationships/hyperlink" Target="https://hrportugal.sapo.pt/?p=230644" TargetMode="External" Id="rId69"/><Relationship Type="http://schemas.openxmlformats.org/officeDocument/2006/relationships/hyperlink" Target="https://www.idealista.pt/news/node/26913" TargetMode="External" Id="rId70"/><Relationship Type="http://schemas.openxmlformats.org/officeDocument/2006/relationships/hyperlink" Target="https://lusojornal.com/salao-do-imobiliario-e-do-investimento-portugues-muda-se-para-a-porte-de-champeret/" TargetMode="External" Id="rId71"/><Relationship Type="http://schemas.openxmlformats.org/officeDocument/2006/relationships/hyperlink" Target="https://lusojornal.com/salao-do-imobiliario-e-do-investimento-portugues-muda-se-para-a-porte-de-champeret/" TargetMode="External" Id="rId72"/><Relationship Type="http://schemas.openxmlformats.org/officeDocument/2006/relationships/hyperlink" Target="https://investnews.com.br/financas/entre-estrangeiros-brasileiros-lideram-busca-por-imoveis-de-luxo-em-pontos-nobres-de-portugal/amp/" TargetMode="External" Id="rId73"/><Relationship Type="http://schemas.openxmlformats.org/officeDocument/2006/relationships/hyperlink" Target="https://www.mysweetimmo.com/2019/12/19/le-courtier-cafpi-simplante-au-portugal/" TargetMode="External" Id="rId74"/><Relationship Type="http://schemas.openxmlformats.org/officeDocument/2006/relationships/hyperlink" Target="https://ind.millenniumbcp.pt/pt/Particulares/suamedida/utilisateurs-francais/Pages/REX_escolherMbcp.aspx" TargetMode="External" Id="rId75"/><Relationship Type="http://schemas.openxmlformats.org/officeDocument/2006/relationships/hyperlink" Target="https://lusopress.tv/wp-content/uploads/2025/12/Revista-142.pdf" TargetMode="External" Id="rId76"/><Relationship Type="http://schemas.openxmlformats.org/officeDocument/2006/relationships/hyperlink" Target="https://monitormercantil.com.br/mercado-imobili-rio-de-portugal-op-o-para-a-investidores-brasileiros/" TargetMode="External" Id="rId77"/><Relationship Type="http://schemas.openxmlformats.org/officeDocument/2006/relationships/hyperlink" Target="https://www.eurodicas.com.br/comprar-casa-em-portugal/" TargetMode="External" Id="rId78"/><Relationship Type="http://schemas.openxmlformats.org/officeDocument/2006/relationships/hyperlink" Target="https://www.idealista.pt/news/node/26913" TargetMode="External" Id="rId79"/><Relationship Type="http://schemas.openxmlformats.org/officeDocument/2006/relationships/hyperlink" Target="https://lusopress.tv/wp-content/uploads/2023/07/lusopress_125.pdf" TargetMode="External" Id="rId80"/><Relationship Type="http://schemas.openxmlformats.org/officeDocument/2006/relationships/hyperlink" Target="https://lusopress.tv/wp-content/uploads/2023/07/lusopress_125.pdf" TargetMode="External" Id="rId81"/><Relationship Type="http://schemas.openxmlformats.org/officeDocument/2006/relationships/hyperlink" Target="https://monitormercantil.com.br/mercado-imobili-rio-de-portugal-op-o-para-a-investidores-brasileiros/" TargetMode="External" Id="rId82"/><Relationship Type="http://schemas.openxmlformats.org/officeDocument/2006/relationships/hyperlink" Target="https://www.eurodicas.com.br/comprar-casa-em-portugal/" TargetMode="External" Id="rId83"/><Relationship Type="http://schemas.openxmlformats.org/officeDocument/2006/relationships/hyperlink" Target="https://lusopress.tv/wp-content/uploads/2023/07/lusopress_125.pdf" TargetMode="External" Id="rId84"/><Relationship Type="http://schemas.openxmlformats.org/officeDocument/2006/relationships/hyperlink" Target="https://www.eurodicas.com.br/como-financiar-imovel-em-portugal/" TargetMode="External" Id="rId85"/><Relationship Type="http://schemas.openxmlformats.org/officeDocument/2006/relationships/hyperlink" Target="https://www.doutorfinancas.pt/wp-content/uploads/2025/12/IC-000042_.pdf" TargetMode="External" Id="rId86"/><Relationship Type="http://schemas.openxmlformats.org/officeDocument/2006/relationships/hyperlink" Target="https://www.doutorfinancas.pt/wp-content/uploads/2025/12/IC-000042_.pdf" TargetMode="External" Id="rId87"/><Relationship Type="http://schemas.openxmlformats.org/officeDocument/2006/relationships/hyperlink" Target="https://www.eurodicas.com.br/como-financiar-imovel-em-portugal/" TargetMode="External" Id="rId88"/><Relationship Type="http://schemas.openxmlformats.org/officeDocument/2006/relationships/hyperlink" Target="https://brighttax.com/blog/can-americans-buy-property-in-portugal" TargetMode="External" Id="rId89"/><Relationship Type="http://schemas.openxmlformats.org/officeDocument/2006/relationships/hyperlink" Target="https://www.comparaja.pt/credito-habitacao/emigrantes" TargetMode="External" Id="rId90"/><Relationship Type="http://schemas.openxmlformats.org/officeDocument/2006/relationships/hyperlink" Target="https://www.doutorfinancas.pt/creditos/credito-habitacao/credito-habitacao-e-emigracao-o-que-deve-saber/" TargetMode="External" Id="rId91"/><Relationship Type="http://schemas.openxmlformats.org/officeDocument/2006/relationships/hyperlink" Target="https://www.goldinglawyers.com/tax-tips-for-portugal-based-americans-u-s-citizen-expats/" TargetMode="External" Id="rId92"/><Relationship Type="http://schemas.openxmlformats.org/officeDocument/2006/relationships/hyperlink" Target="https://www.guestready.com/fr/conciergerie-airbnb/portugal/" TargetMode="External" Id="rId93"/><Relationship Type="http://schemas.openxmlformats.org/officeDocument/2006/relationships/hyperlink" Target="https://www.justarrived.lu/pt/" TargetMode="External" Id="rId94"/><Relationship Type="http://schemas.openxmlformats.org/officeDocument/2006/relationships/hyperlink" Target="https://www.lvpadvogados.com/pt" TargetMode="External" Id="rId95"/><Relationship Type="http://schemas.openxmlformats.org/officeDocument/2006/relationships/hyperlink" Target="https://www.remitly.com/blog/immigration/buying-property-in-portugal/" TargetMode="External" Id="rId96"/><Relationship Type="http://schemas.openxmlformats.org/officeDocument/2006/relationships/hyperlink" Target="https://smargiassi.com.br/lp/portugal/" TargetMode="External" Id="rId97"/><Relationship Type="http://schemas.openxmlformats.org/officeDocument/2006/relationships/hyperlink" Target="https://www.solutis.fr/investir-au-portugal.html" TargetMode="External" Id="rId98"/><Relationship Type="http://schemas.openxmlformats.org/officeDocument/2006/relationships/hyperlink" Target="https://www.solutis.fr/investir-au-portugal.html" TargetMode="External" Id="rId99"/><Relationship Type="http://schemas.openxmlformats.org/officeDocument/2006/relationships/hyperlink" Target="https://www.taxesforexpats.com/country-guides/portugal/buying-property-in-portugal-as-an-american.html" TargetMode="External" Id="rId100"/><Relationship Type="http://schemas.openxmlformats.org/officeDocument/2006/relationships/hyperlink" Target="https://www.eurodicas.com.br/como-financiar-imovel-em-portugal/" TargetMode="External" Id="rId101"/><Relationship Type="http://schemas.openxmlformats.org/officeDocument/2006/relationships/hyperlink" Target="https://www.verspieren.com/sites/default/files/2019-11/Communique_Presse_Lancement_Verspieren%20Portugal.pdf" TargetMode="External" Id="rId102"/><Relationship Type="http://schemas.openxmlformats.org/officeDocument/2006/relationships/hyperlink" Target="https://www.essential-business.pt/2025/10/03/shalu-invests-e100-million-in-luxury-porto-project/" TargetMode="External" Id="rId103"/><Relationship Type="http://schemas.openxmlformats.org/officeDocument/2006/relationships/hyperlink" Target="https://www.essential-business.pt/?p=21799" TargetMode="External" Id="rId104"/><Relationship Type="http://schemas.openxmlformats.org/officeDocument/2006/relationships/hyperlink" Target="https://econews.pt/?p=47234" TargetMode="External" Id="rId105"/><Relationship Type="http://schemas.openxmlformats.org/officeDocument/2006/relationships/hyperlink" Target="https://www.idealista.pt/news/node/26913" TargetMode="External" Id="rId106"/><Relationship Type="http://schemas.openxmlformats.org/officeDocument/2006/relationships/hyperlink" Target="https://www.idealista.pt/news/node/26913" TargetMode="External" Id="rId107"/><Relationship Type="http://schemas.openxmlformats.org/officeDocument/2006/relationships/hyperlink" Target="https://www.idealista.pt/news/node/26913" TargetMode="External" Id="rId108"/><Relationship Type="http://schemas.openxmlformats.org/officeDocument/2006/relationships/hyperlink" Target="https://www.idealista.pt/news/node/26913" TargetMode="External" Id="rId109"/><Relationship Type="http://schemas.openxmlformats.org/officeDocument/2006/relationships/hyperlink" Target="https://www.cyriljarnias.fr/?p=22969" TargetMode="External" Id="rId110"/><Relationship Type="http://schemas.openxmlformats.org/officeDocument/2006/relationships/hyperlink" Target="https://www.cidadaniaevisto.com.br/blog/container-brasil-para-portugal-como-funciona" TargetMode="External" Id="rId111"/><Relationship Type="http://schemas.openxmlformats.org/officeDocument/2006/relationships/hyperlink" Target="https://www.eurodicas.com.br/comprar-casa-em-portugal/" TargetMode="External" Id="rId112"/><Relationship Type="http://schemas.openxmlformats.org/officeDocument/2006/relationships/hyperlink" Target="https://www.justarrived.lu/pt/services-partenaires/demenager" TargetMode="External" Id="rId113"/><Relationship Type="http://schemas.openxmlformats.org/officeDocument/2006/relationships/hyperlink" Target="https://en.paperjam.lu/club/event/paperjam-10x6-decisao-the-portuguese-business-community-in-action" TargetMode="External" Id="rId114"/><Relationship Type="http://schemas.openxmlformats.org/officeDocument/2006/relationships/hyperlink" Target="https://en.paperjam.lu/club/event/paperjam-10x6-decisao-the-portuguese-business-community-in-action" TargetMode="External" Id="rId115"/><Relationship Type="http://schemas.openxmlformats.org/officeDocument/2006/relationships/hyperlink" Target="https://www.bdo.pt/getattachment/976e2ae4-5f6d-4174-b76e-23bf21d7c475/Guia-Investir-au-Portugal-25_9_Compress.pdf" TargetMode="External" Id="rId116"/><Relationship Type="http://schemas.openxmlformats.org/officeDocument/2006/relationships/hyperlink" Target="https://www.eurodicas.com.br/como-financiar-imovel-em-portugal/" TargetMode="External" Id="rId117"/><Relationship Type="http://schemas.openxmlformats.org/officeDocument/2006/relationships/hyperlink" Target="https://contasconnosco.cofidis.pt/credito/e-emigrante-e-quer-fazer-um-credito-habitacao-em-portugal" TargetMode="External" Id="rId118"/><Relationship Type="http://schemas.openxmlformats.org/officeDocument/2006/relationships/hyperlink" Target="https://ca-ql.creditoagricola.pt/institucional/international-v2" TargetMode="External" Id="rId119"/><Relationship Type="http://schemas.openxmlformats.org/officeDocument/2006/relationships/hyperlink" Target="https://www.fieldfisher.com/pt-pt/people/franck-mattos" TargetMode="External" Id="rId120"/><Relationship Type="http://schemas.openxmlformats.org/officeDocument/2006/relationships/hyperlink" Target="https://www.meilleurtaux.com/credit-immobilier/actualites/2020-juillet/portugal-terre-accueil-ideale-expatries-francais.html" TargetMode="External" Id="rId121"/><Relationship Type="http://schemas.openxmlformats.org/officeDocument/2006/relationships/hyperlink" Target="https://mirandalawfirm.com/download/2729/aad470f4cb89c159ff1db5542b48660f/Guia%20Investir%20au%20Portugal%2025_9_Compress.pdf" TargetMode="External" Id="rId122"/><Relationship Type="http://schemas.openxmlformats.org/officeDocument/2006/relationships/hyperlink" Target="https://www.eurodicas.com.br/comprar-casa-em-portugal/" TargetMode="External" Id="rId123"/><Relationship Type="http://schemas.openxmlformats.org/officeDocument/2006/relationships/hyperlink" Target="https://www.caixiave.pt/fr/nouvelle/caixiave-salon-de-limmobilier-au-portugal-sil-2024" TargetMode="External" Id="rId124"/><Relationship Type="http://schemas.openxmlformats.org/officeDocument/2006/relationships/hyperlink" Target="https://www.eurosender.com/pt/rr/mudancas/suica" TargetMode="External" Id="rId125"/><Relationship Type="http://schemas.openxmlformats.org/officeDocument/2006/relationships/hyperlink" Target="https://www.uniplaces.com/city-explorer/aluguel-para-expatriados-em-portugal/" TargetMode="External" Id="rId12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doutorfinancas.pt/seguro-vida-geral/" TargetMode="External" Id="rId1"/><Relationship Type="http://schemas.openxmlformats.org/officeDocument/2006/relationships/hyperlink" Target="https://www.doutorfinancas.pt/seguro-vida-geral/" TargetMode="External" Id="rId2"/><Relationship Type="http://schemas.openxmlformats.org/officeDocument/2006/relationships/hyperlink" Target="https://www.doutorfinancas.pt/seguro-vida-geral/" TargetMode="External" Id="rId3"/><Relationship Type="http://schemas.openxmlformats.org/officeDocument/2006/relationships/hyperlink" Target="https://www.doutorfinancas.pt/seguro-vida-geral/" TargetMode="External" Id="rId4"/><Relationship Type="http://schemas.openxmlformats.org/officeDocument/2006/relationships/hyperlink" Target="https://www.doutorfinancas.pt/seguro-vida-geral/" TargetMode="External" Id="rId5"/><Relationship Type="http://schemas.openxmlformats.org/officeDocument/2006/relationships/hyperlink" Target="https://www.doutorfinancas.pt/seguro-vida-geral/" TargetMode="External" Id="rId6"/><Relationship Type="http://schemas.openxmlformats.org/officeDocument/2006/relationships/hyperlink" Target="https://www.essential-business.pt/?p=16891" TargetMode="External" Id="rId7"/><Relationship Type="http://schemas.openxmlformats.org/officeDocument/2006/relationships/hyperlink" Target="https://www.doutorfinancas.pt/seguro-vida-geral/" TargetMode="External" Id="rId8"/><Relationship Type="http://schemas.openxmlformats.org/officeDocument/2006/relationships/hyperlink" Target="https://www.doutorfinancas.pt/seguro-vida-geral/" TargetMode="External" Id="rId9"/><Relationship Type="http://schemas.openxmlformats.org/officeDocument/2006/relationships/hyperlink" Target="https://www.doutorfinancas.pt/seguro-vida-geral/" TargetMode="External" Id="rId10"/><Relationship Type="http://schemas.openxmlformats.org/officeDocument/2006/relationships/hyperlink" Target="https://www.doutorfinancas.pt/seguro-vida-geral/" TargetMode="External" Id="rId11"/><Relationship Type="http://schemas.openxmlformats.org/officeDocument/2006/relationships/hyperlink" Target="https://www.doutorfinancas.pt/seguro-vida-geral/" TargetMode="External" Id="rId12"/><Relationship Type="http://schemas.openxmlformats.org/officeDocument/2006/relationships/hyperlink" Target="https://www.essential-business.pt/?p=11819" TargetMode="External" Id="rId13"/><Relationship Type="http://schemas.openxmlformats.org/officeDocument/2006/relationships/hyperlink" Target="https://www.doutorfinancas.pt/seguro-vida-geral/" TargetMode="External" Id="rId14"/><Relationship Type="http://schemas.openxmlformats.org/officeDocument/2006/relationships/hyperlink" Target="https://www.doutorfinancas.pt/seguro-vida-geral/" TargetMode="External" Id="rId15"/><Relationship Type="http://schemas.openxmlformats.org/officeDocument/2006/relationships/hyperlink" Target="https://www.doutorfinancas.pt/seguro-vida-geral/" TargetMode="External" Id="rId16"/><Relationship Type="http://schemas.openxmlformats.org/officeDocument/2006/relationships/hyperlink" Target="https://www.doutorfinancas.pt/seguro-vida-geral/" TargetMode="External" Id="rId17"/><Relationship Type="http://schemas.openxmlformats.org/officeDocument/2006/relationships/hyperlink" Target="https://www.doutorfinancas.pt/seguro-vida-geral/" TargetMode="External" Id="rId18"/><Relationship Type="http://schemas.openxmlformats.org/officeDocument/2006/relationships/hyperlink" Target="https://www.doutorfinancas.pt/seguro-vida-geral/" TargetMode="External" Id="rId1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idealista.pt/news/node/59586" TargetMode="External" Id="rId1"/><Relationship Type="http://schemas.openxmlformats.org/officeDocument/2006/relationships/hyperlink" Target="https://lusojornal.com/salao-do-imobiliario-e-do-investimento-portugues-muda-se-para-a-porte-de-champeret/" TargetMode="External" Id="rId2"/><Relationship Type="http://schemas.openxmlformats.org/officeDocument/2006/relationships/hyperlink" Target="https://www.idealista.pt/news/node/43936" TargetMode="External" Id="rId3"/><Relationship Type="http://schemas.openxmlformats.org/officeDocument/2006/relationships/hyperlink" Target="https://cc.lu/agenda/detail/luxembourg-portugal-business-forum" TargetMode="External" Id="rId4"/><Relationship Type="http://schemas.openxmlformats.org/officeDocument/2006/relationships/hyperlink" Target="https://en.paperjam.lu/club/event/paperjam-10x6-decisao-the-portuguese-business-community-in-action" TargetMode="External" Id="rId5"/><Relationship Type="http://schemas.openxmlformats.org/officeDocument/2006/relationships/hyperlink" Target="https://lusojornal.com/salao-do-imobiliario-e-do-investimento-portugues-muda-se-para-a-porte-de-champeret/" TargetMode="External" Id="rId6"/><Relationship Type="http://schemas.openxmlformats.org/officeDocument/2006/relationships/hyperlink" Target="https://lusopress.tv/wp-content/uploads/2025/12/Revista-142.pdf" TargetMode="External" Id="rId7"/><Relationship Type="http://schemas.openxmlformats.org/officeDocument/2006/relationships/hyperlink" Target="https://lusopress.tv/wp-content/uploads/2023/07/lusopress_125.pdf" TargetMode="External" Id="rId8"/><Relationship Type="http://schemas.openxmlformats.org/officeDocument/2006/relationships/hyperlink" Target="https://lusopress.tv/wp-content/uploads/2023/07/lusopress_125.pdf" TargetMode="External" Id="rId9"/><Relationship Type="http://schemas.openxmlformats.org/officeDocument/2006/relationships/hyperlink" Target="https://en.paperjam.lu/guide/organisation/01276932145/radio-latina" TargetMode="External" Id="rId10"/><Relationship Type="http://schemas.openxmlformats.org/officeDocument/2006/relationships/hyperlink" Target="https://en.wikipedia.org/wiki/Contacto_(Luxembourg)" TargetMode="External" Id="rId11"/><Relationship Type="http://schemas.openxmlformats.org/officeDocument/2006/relationships/hyperlink" Target="https://www.eurodicas.com.br/comprar-casa-em-portugal/" TargetMode="External" Id="rId1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onlinemarketplaces.com/articles/idealistas-kyero-acquisition-cancelled-as-competition-authority-steps-in/" TargetMode="External" Id="rId1"/><Relationship Type="http://schemas.openxmlformats.org/officeDocument/2006/relationships/hyperlink" Target="https://www.onlinemarketplaces.com/articles/idealistas-kyero-acquisition-cancelled-as-competition-authority-steps-in/" TargetMode="External" Id="rId2"/><Relationship Type="http://schemas.openxmlformats.org/officeDocument/2006/relationships/hyperlink" Target="https://www.luxinmo.com/portals/green-acres" TargetMode="External" Id="rId3"/><Relationship Type="http://schemas.openxmlformats.org/officeDocument/2006/relationships/hyperlink" Target="https://www.aplaceinthesun.com/advertise/magazine" TargetMode="External" Id="rId4"/><Relationship Type="http://schemas.openxmlformats.org/officeDocument/2006/relationships/hyperlink" Target="https://www.portugalhomes.com/pt/move-to-portugal/services/property-management" TargetMode="External" Id="rId5"/><Relationship Type="http://schemas.openxmlformats.org/officeDocument/2006/relationships/hyperlink" Target="https://lusojornal.com/salao-do-imobiliario-e-do-investimento-portugues-muda-se-para-a-porte-de-champeret/" TargetMode="External" Id="rId6"/></Relationships>
</file>

<file path=xl/worksheets/_rels/sheet7.xml.rels><Relationships xmlns="http://schemas.openxmlformats.org/package/2006/relationships"><Relationship Type="http://schemas.openxmlformats.org/officeDocument/2006/relationships/hyperlink" Target="https://amchamportugal.pt" TargetMode="External" Id="rId1"/><Relationship Type="http://schemas.openxmlformats.org/officeDocument/2006/relationships/hyperlink" Target="https://bpcc.pt" TargetMode="External" Id="rId2"/><Relationship Type="http://schemas.openxmlformats.org/officeDocument/2006/relationships/hyperlink" Target="https://portugalglobal.pt/en/news/2026/fevereiro/moving-to-portugal-show-and-seminars-returns-to-central-london" TargetMode="External" Id="rId3"/><Relationship Type="http://schemas.openxmlformats.org/officeDocument/2006/relationships/hyperlink" Target="https://www.eusmecentre.org.cn/partners/portugal-china-chamber-of-commerce-and-industry-ccilc" TargetMode="External" Id="rId4"/><Relationship Type="http://schemas.openxmlformats.org/officeDocument/2006/relationships/hyperlink" Target="https://www.portugalresident.com/chamber/" TargetMode="External" Id="rId5"/><Relationship Type="http://schemas.openxmlformats.org/officeDocument/2006/relationships/hyperlink" Target="https://www.trade.gov/portugal-contact-us" TargetMode="External" Id="rId6"/><Relationship Type="http://schemas.openxmlformats.org/officeDocument/2006/relationships/hyperlink" Target="https://www.gov.uk/world/organisations/british-embassy-lisbon/office/department-for-business-and-trade" TargetMode="External" Id="rId7"/><Relationship Type="http://schemas.openxmlformats.org/officeDocument/2006/relationships/hyperlink" Target="https://embassies.gov.il/portugal/en" TargetMode="External" Id="rId8"/><Relationship Type="http://schemas.openxmlformats.org/officeDocument/2006/relationships/hyperlink" Target="https://pt.mofcom.gov.cn/AboutUs/art/2015/art_1d0f6ff0306d46a1b7192aa708363bfb.html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Sponsor pipeline v2: follow the money</t>
        </is>
      </c>
    </row>
    <row r="2">
      <c r="A2" s="2" t="inlineStr">
        <is>
          <t>Built 24 Oct 2026. Tier A = proven spend on our audience; B = serves our audience; C = large/generic (parked).</t>
        </is>
      </c>
    </row>
    <row r="4">
      <c r="A4" s="3" t="inlineStr"/>
      <c r="B4" s="3" t="inlineStr">
        <is>
          <t>Companies</t>
        </is>
      </c>
      <c r="C4" s="3" t="inlineStr">
        <is>
          <t>Expected value (€)</t>
        </is>
      </c>
      <c r="D4" s="3" t="inlineStr">
        <is>
          <t>Won (€)</t>
        </is>
      </c>
    </row>
    <row r="5">
      <c r="A5" s="4" t="inlineStr">
        <is>
          <t>Tier A</t>
        </is>
      </c>
      <c r="B5" s="4">
        <f>COUNTIF('Pipeline A-B'!$E$2:$E$132,"A")</f>
        <v/>
      </c>
      <c r="C5" s="5">
        <f>SUMIF('Pipeline A-B'!$E$2:$E$132,"A",'Pipeline A-B'!$P$2:$P$132)</f>
        <v/>
      </c>
      <c r="D5" s="5">
        <f>SUMIFS('Pipeline A-B'!$N$2:$N$132,'Pipeline A-B'!$E$2:$E$132,"A",'Pipeline A-B'!$R$2:$R$132,"Won")</f>
        <v/>
      </c>
    </row>
    <row r="6">
      <c r="A6" s="4" t="inlineStr">
        <is>
          <t>Tier B</t>
        </is>
      </c>
      <c r="B6" s="4">
        <f>COUNTIF('Pipeline A-B'!$E$2:$E$132,"B")</f>
        <v/>
      </c>
      <c r="C6" s="5">
        <f>SUMIF('Pipeline A-B'!$E$2:$E$132,"B",'Pipeline A-B'!$P$2:$P$132)</f>
        <v/>
      </c>
      <c r="D6" s="5">
        <f>SUMIFS('Pipeline A-B'!$N$2:$N$132,'Pipeline A-B'!$E$2:$E$132,"B",'Pipeline A-B'!$R$2:$R$132,"Won")</f>
        <v/>
      </c>
    </row>
    <row r="7">
      <c r="A7" s="4" t="inlineStr">
        <is>
          <t>Tier C (parked)</t>
        </is>
      </c>
      <c r="B7" s="4">
        <f>COUNTA('Later (tier C)'!$A$2:$A$70)</f>
        <v/>
      </c>
      <c r="C7" s="5">
        <f>SUM('Later (tier C)'!$P$2:$P$70)</f>
        <v/>
      </c>
      <c r="D7" s="5">
        <f>SUMIF('Later (tier C)'!$R$2:$R$70,"Won",'Later (tier C)'!$N$2:$N$70)</f>
        <v/>
      </c>
    </row>
    <row r="8">
      <c r="A8" s="6" t="inlineStr">
        <is>
          <t>Total</t>
        </is>
      </c>
      <c r="B8" s="6">
        <f>SUM(B5:B7)</f>
        <v/>
      </c>
      <c r="C8" s="7">
        <f>SUM(C5:C7)</f>
        <v/>
      </c>
      <c r="D8" s="7">
        <f>SUM(D5:D7)</f>
        <v/>
      </c>
    </row>
    <row r="9">
      <c r="A9" s="4" t="inlineStr">
        <is>
          <t>Share of tier A + B</t>
        </is>
      </c>
      <c r="B9" s="8">
        <f>(B5+B6)/B8</f>
        <v/>
      </c>
    </row>
    <row r="11">
      <c r="A11" s="3" t="inlineStr">
        <is>
          <t>Edition</t>
        </is>
      </c>
      <c r="B11" s="3" t="inlineStr">
        <is>
          <t>A + B companies</t>
        </is>
      </c>
      <c r="C11" s="3" t="inlineStr">
        <is>
          <t>Expected value (€)</t>
        </is>
      </c>
    </row>
    <row r="12">
      <c r="A12" s="4" t="inlineStr">
        <is>
          <t>LU</t>
        </is>
      </c>
      <c r="B12" s="4">
        <f>SUMPRODUCT(--ISNUMBER(SEARCH("LU",'Pipeline A-B'!$D$2:$D$132)))</f>
        <v/>
      </c>
      <c r="C12" s="5">
        <f>SUMPRODUCT(ISNUMBER(SEARCH("LU",'Pipeline A-B'!$D$2:$D$132))*'Pipeline A-B'!$P$2:$P$132)</f>
        <v/>
      </c>
    </row>
    <row r="13">
      <c r="A13" s="4" t="inlineStr">
        <is>
          <t>FR</t>
        </is>
      </c>
      <c r="B13" s="4">
        <f>SUMPRODUCT(--ISNUMBER(SEARCH("FR",'Pipeline A-B'!$D$2:$D$132)))</f>
        <v/>
      </c>
      <c r="C13" s="5">
        <f>SUMPRODUCT(ISNUMBER(SEARCH("FR",'Pipeline A-B'!$D$2:$D$132))*'Pipeline A-B'!$P$2:$P$132)</f>
        <v/>
      </c>
    </row>
    <row r="14">
      <c r="A14" s="4" t="inlineStr">
        <is>
          <t>CH</t>
        </is>
      </c>
      <c r="B14" s="4">
        <f>SUMPRODUCT(--ISNUMBER(SEARCH("CH",'Pipeline A-B'!$D$2:$D$132)))</f>
        <v/>
      </c>
      <c r="C14" s="5">
        <f>SUMPRODUCT(ISNUMBER(SEARCH("CH",'Pipeline A-B'!$D$2:$D$132))*'Pipeline A-B'!$P$2:$P$132)</f>
        <v/>
      </c>
    </row>
    <row r="15">
      <c r="A15" s="4" t="inlineStr">
        <is>
          <t>BR</t>
        </is>
      </c>
      <c r="B15" s="4">
        <f>SUMPRODUCT(--ISNUMBER(SEARCH("BR",'Pipeline A-B'!$D$2:$D$132)))</f>
        <v/>
      </c>
      <c r="C15" s="5">
        <f>SUMPRODUCT(ISNUMBER(SEARCH("BR",'Pipeline A-B'!$D$2:$D$132))*'Pipeline A-B'!$P$2:$P$132)</f>
        <v/>
      </c>
    </row>
    <row r="16">
      <c r="A16" s="4" t="inlineStr">
        <is>
          <t>US</t>
        </is>
      </c>
      <c r="B16" s="4">
        <f>SUMPRODUCT(--ISNUMBER(SEARCH("US",'Pipeline A-B'!$D$2:$D$132)))</f>
        <v/>
      </c>
      <c r="C16" s="5">
        <f>SUMPRODUCT(ISNUMBER(SEARCH("US",'Pipeline A-B'!$D$2:$D$132))*'Pipeline A-B'!$P$2:$P$132)</f>
        <v/>
      </c>
    </row>
    <row r="17">
      <c r="A17" s="4" t="inlineStr">
        <is>
          <t>IL</t>
        </is>
      </c>
      <c r="B17" s="4">
        <f>SUMPRODUCT(--ISNUMBER(SEARCH("IL",'Pipeline A-B'!$D$2:$D$132)))</f>
        <v/>
      </c>
      <c r="C17" s="5">
        <f>SUMPRODUCT(ISNUMBER(SEARCH("IL",'Pipeline A-B'!$D$2:$D$132))*'Pipeline A-B'!$P$2:$P$132)</f>
        <v/>
      </c>
    </row>
    <row r="18">
      <c r="A18" s="2" t="inlineStr">
        <is>
          <t>A company with several editions counts in each, so edition rows add up to more than the total.</t>
        </is>
      </c>
    </row>
    <row r="20">
      <c r="A20" s="3" t="inlineStr">
        <is>
          <t>Status</t>
        </is>
      </c>
      <c r="B20" s="3" t="inlineStr">
        <is>
          <t>A + B companies</t>
        </is>
      </c>
    </row>
    <row r="21">
      <c r="A21" s="4" t="inlineStr">
        <is>
          <t>To contact</t>
        </is>
      </c>
      <c r="B21" s="4">
        <f>COUNTIF('Pipeline A-B'!$R$2:$R$132,"To contact")</f>
        <v/>
      </c>
    </row>
    <row r="22">
      <c r="A22" s="4" t="inlineStr">
        <is>
          <t>Contacted</t>
        </is>
      </c>
      <c r="B22" s="4">
        <f>COUNTIF('Pipeline A-B'!$R$2:$R$132,"Contacted")</f>
        <v/>
      </c>
    </row>
    <row r="23">
      <c r="A23" s="4" t="inlineStr">
        <is>
          <t>Replied</t>
        </is>
      </c>
      <c r="B23" s="4">
        <f>COUNTIF('Pipeline A-B'!$R$2:$R$132,"Replied")</f>
        <v/>
      </c>
    </row>
    <row r="24">
      <c r="A24" s="4" t="inlineStr">
        <is>
          <t>Call booked</t>
        </is>
      </c>
      <c r="B24" s="4">
        <f>COUNTIF('Pipeline A-B'!$R$2:$R$132,"Call booked")</f>
        <v/>
      </c>
    </row>
    <row r="25">
      <c r="A25" s="4" t="inlineStr">
        <is>
          <t>Proposal sent</t>
        </is>
      </c>
      <c r="B25" s="4">
        <f>COUNTIF('Pipeline A-B'!$R$2:$R$132,"Proposal sent")</f>
        <v/>
      </c>
    </row>
    <row r="26">
      <c r="A26" s="4" t="inlineStr">
        <is>
          <t>Won</t>
        </is>
      </c>
      <c r="B26" s="4">
        <f>COUNTIF('Pipeline A-B'!$R$2:$R$132,"Won")</f>
        <v/>
      </c>
    </row>
    <row r="27">
      <c r="A27" s="4" t="inlineStr">
        <is>
          <t>Lost</t>
        </is>
      </c>
      <c r="B27" s="4">
        <f>COUNTIF('Pipeline A-B'!$R$2:$R$132,"Lost")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14" customWidth="1" min="4" max="4"/>
    <col width="6" customWidth="1" min="5" max="5"/>
    <col width="6" customWidth="1" min="6" max="6"/>
    <col width="34" customWidth="1" min="7" max="7"/>
    <col width="50" customWidth="1" min="8" max="8"/>
    <col width="9" customWidth="1" min="9" max="9"/>
    <col width="13" customWidth="1" min="10" max="10"/>
    <col width="30" customWidth="1" min="11" max="11"/>
    <col width="30" customWidth="1" min="12" max="12"/>
    <col width="16" customWidth="1" min="13" max="13"/>
    <col width="13" customWidth="1" min="14" max="14"/>
    <col width="11" customWidth="1" min="15" max="15"/>
    <col width="13" customWidth="1" min="16" max="16"/>
    <col width="11" customWidth="1" min="17" max="17"/>
    <col width="14" customWidth="1" min="18" max="18"/>
    <col width="36" customWidth="1" min="19" max="19"/>
    <col width="13" customWidth="1" min="20" max="20"/>
    <col width="10" customWidth="1" min="21" max="21"/>
    <col width="16" customWidth="1" min="22" max="22"/>
  </cols>
  <sheetData>
    <row r="1" ht="32" customHeight="1">
      <c r="A1" s="9" t="inlineStr">
        <is>
          <t>ID</t>
        </is>
      </c>
      <c r="B1" s="9" t="inlineStr">
        <is>
          <t>Company</t>
        </is>
      </c>
      <c r="C1" s="9" t="inlineStr">
        <is>
          <t>Sector</t>
        </is>
      </c>
      <c r="D1" s="9" t="inlineStr">
        <is>
          <t>Editions</t>
        </is>
      </c>
      <c r="E1" s="9" t="inlineStr">
        <is>
          <t>Tier</t>
        </is>
      </c>
      <c r="F1" s="9" t="inlineStr">
        <is>
          <t>Size</t>
        </is>
      </c>
      <c r="G1" s="9" t="inlineStr">
        <is>
          <t>Evidence URL</t>
        </is>
      </c>
      <c r="H1" s="9" t="inlineStr">
        <is>
          <t>Evidence</t>
        </is>
      </c>
      <c r="I1" s="9" t="inlineStr">
        <is>
          <t>Evidence year</t>
        </is>
      </c>
      <c r="J1" s="9" t="inlineStr">
        <is>
          <t>Evidence check</t>
        </is>
      </c>
      <c r="K1" s="9" t="inlineStr">
        <is>
          <t>Who to reach</t>
        </is>
      </c>
      <c r="L1" s="9" t="inlineStr">
        <is>
          <t>Channel</t>
        </is>
      </c>
      <c r="M1" s="9" t="inlineStr">
        <is>
          <t>Offer</t>
        </is>
      </c>
      <c r="N1" s="9" t="inlineStr">
        <is>
          <t>Deal value year 1 (€)</t>
        </is>
      </c>
      <c r="O1" s="9" t="inlineStr">
        <is>
          <t>Close probability</t>
        </is>
      </c>
      <c r="P1" s="9" t="inlineStr">
        <is>
          <t>Expected value (€)</t>
        </is>
      </c>
      <c r="Q1" s="9" t="inlineStr">
        <is>
          <t>Priority score</t>
        </is>
      </c>
      <c r="R1" s="9" t="inlineStr">
        <is>
          <t>Status</t>
        </is>
      </c>
      <c r="S1" s="9" t="inlineStr">
        <is>
          <t>Next action</t>
        </is>
      </c>
      <c r="T1" s="9" t="inlineStr">
        <is>
          <t>Next action date</t>
        </is>
      </c>
      <c r="U1" s="9" t="inlineStr">
        <is>
          <t>Owner</t>
        </is>
      </c>
      <c r="V1" s="9" t="inlineStr">
        <is>
          <t>Capital origin</t>
        </is>
      </c>
    </row>
    <row r="2">
      <c r="A2" s="10" t="inlineStr">
        <is>
          <t>S179</t>
        </is>
      </c>
      <c r="B2" s="11" t="inlineStr">
        <is>
          <t>Cross Border Wealth</t>
        </is>
      </c>
      <c r="C2" s="10" t="inlineStr">
        <is>
          <t>Cross-border wealth adviser (private)</t>
        </is>
      </c>
      <c r="D2" s="10" t="inlineStr">
        <is>
          <t>US</t>
        </is>
      </c>
      <c r="E2" s="12" t="inlineStr">
        <is>
          <t>A</t>
        </is>
      </c>
      <c r="F2" s="10" t="inlineStr">
        <is>
          <t>S</t>
        </is>
      </c>
      <c r="G2" s="13" t="inlineStr">
        <is>
          <t>https://expressoemprego.pt/emprego/international-investment-advisor-financial-advisor/2428178</t>
        </is>
      </c>
      <c r="H2" s="10" t="inlineStr">
        <is>
          <t>Wealth Partner tier (D33): Preparing a Lisbon office for US-connected individuals abroad (job ad, May 2026) (prompt 15)</t>
        </is>
      </c>
      <c r="I2" s="10" t="n">
        <v>2026</v>
      </c>
      <c r="J2" s="10" t="inlineStr">
        <is>
          <t>Search result</t>
        </is>
      </c>
      <c r="K2" s="10" t="inlineStr">
        <is>
          <t>Head of international or Portugal desk</t>
        </is>
      </c>
      <c r="L2" s="10" t="inlineStr">
        <is>
          <t>LinkedIn (named role), then company email</t>
        </is>
      </c>
      <c r="M2" s="10" t="inlineStr">
        <is>
          <t>Wealth Partner</t>
        </is>
      </c>
      <c r="N2" s="14">
        <f>INDEX(Settings!$B$4:$B$15,MATCH(M2,Settings!$A$4:$A$15,0))</f>
        <v/>
      </c>
      <c r="O2" s="15">
        <f>IF(E2="A",IF(I2&gt;=2022,Settings!$B$18,Settings!$B$19),IF(E2="B",Settings!$B$20,Settings!$B$21))+IF(F2="S",Settings!$B$22,0)</f>
        <v/>
      </c>
      <c r="P2" s="14">
        <f>N2*O2</f>
        <v/>
      </c>
      <c r="Q2" s="16">
        <f>P2*INDEX(Settings!$B$25:$B$27,MATCH(F2,Settings!$A$25:$A$27,0))</f>
        <v/>
      </c>
      <c r="R2" s="10" t="inlineStr">
        <is>
          <t>To contact</t>
        </is>
      </c>
      <c r="S2" s="10" t="inlineStr">
        <is>
          <t>Touch 1 (sponsors/outreach/v3)</t>
        </is>
      </c>
      <c r="T2" s="10" t="inlineStr">
        <is>
          <t>2026-11-09</t>
        </is>
      </c>
      <c r="U2" s="10" t="inlineStr">
        <is>
          <t>Partner</t>
        </is>
      </c>
      <c r="V2" s="10" t="inlineStr">
        <is>
          <t>United States</t>
        </is>
      </c>
    </row>
    <row r="3">
      <c r="A3" s="10" t="inlineStr">
        <is>
          <t>S180</t>
        </is>
      </c>
      <c r="B3" s="11" t="inlineStr">
        <is>
          <t>Euro American Financial Advisors</t>
        </is>
      </c>
      <c r="C3" s="10" t="inlineStr">
        <is>
          <t>Cross-border wealth adviser (private)</t>
        </is>
      </c>
      <c r="D3" s="10" t="inlineStr">
        <is>
          <t>US</t>
        </is>
      </c>
      <c r="E3" s="12" t="inlineStr">
        <is>
          <t>A</t>
        </is>
      </c>
      <c r="F3" s="10" t="inlineStr">
        <is>
          <t>S</t>
        </is>
      </c>
      <c r="G3" s="13" t="inlineStr">
        <is>
          <t>https://www.expatfocus.com/?p=51322</t>
        </is>
      </c>
      <c r="H3" s="10" t="inlineStr">
        <is>
          <t>Wealth Partner tier (D33): Panel on moving to Portugal at the 2026 US Expats Financial Conference (prompt 15)</t>
        </is>
      </c>
      <c r="I3" s="10" t="n">
        <v>2026</v>
      </c>
      <c r="J3" s="10" t="inlineStr">
        <is>
          <t>Search result</t>
        </is>
      </c>
      <c r="K3" s="10" t="inlineStr">
        <is>
          <t>Head of international or Portugal desk</t>
        </is>
      </c>
      <c r="L3" s="10" t="inlineStr">
        <is>
          <t>LinkedIn (named role), then company email</t>
        </is>
      </c>
      <c r="M3" s="10" t="inlineStr">
        <is>
          <t>Wealth Partner</t>
        </is>
      </c>
      <c r="N3" s="14">
        <f>INDEX(Settings!$B$4:$B$15,MATCH(M3,Settings!$A$4:$A$15,0))</f>
        <v/>
      </c>
      <c r="O3" s="15">
        <f>IF(E3="A",IF(I3&gt;=2022,Settings!$B$18,Settings!$B$19),IF(E3="B",Settings!$B$20,Settings!$B$21))+IF(F3="S",Settings!$B$22,0)</f>
        <v/>
      </c>
      <c r="P3" s="14">
        <f>N3*O3</f>
        <v/>
      </c>
      <c r="Q3" s="16">
        <f>P3*INDEX(Settings!$B$25:$B$27,MATCH(F3,Settings!$A$25:$A$27,0))</f>
        <v/>
      </c>
      <c r="R3" s="10" t="inlineStr">
        <is>
          <t>To contact</t>
        </is>
      </c>
      <c r="S3" s="10" t="inlineStr">
        <is>
          <t>Touch 1 (sponsors/outreach/v3)</t>
        </is>
      </c>
      <c r="T3" s="10" t="inlineStr">
        <is>
          <t>2026-11-09</t>
        </is>
      </c>
      <c r="U3" s="10" t="inlineStr">
        <is>
          <t>Partner</t>
        </is>
      </c>
      <c r="V3" s="10" t="inlineStr">
        <is>
          <t>United States</t>
        </is>
      </c>
    </row>
    <row r="4">
      <c r="A4" s="10" t="inlineStr">
        <is>
          <t>S181</t>
        </is>
      </c>
      <c r="B4" s="11" t="inlineStr">
        <is>
          <t>Finalib</t>
        </is>
      </c>
      <c r="C4" s="10" t="inlineStr">
        <is>
          <t>Wealth adviser (private)</t>
        </is>
      </c>
      <c r="D4" s="10" t="inlineStr">
        <is>
          <t>FR</t>
        </is>
      </c>
      <c r="E4" s="12" t="inlineStr">
        <is>
          <t>A</t>
        </is>
      </c>
      <c r="F4" s="10" t="inlineStr">
        <is>
          <t>S</t>
        </is>
      </c>
      <c r="G4" s="13" t="inlineStr">
        <is>
          <t>https://finalib.fr/blog/fiscalite/expatriation-fiscale-2026-quitter-france-impots</t>
        </is>
      </c>
      <c r="H4" s="10" t="inlineStr">
        <is>
          <t>Wealth Partner tier (D33): Content on tax expatriation from France to Portugal (2026) (prompt 15)</t>
        </is>
      </c>
      <c r="I4" s="10" t="n">
        <v>2026</v>
      </c>
      <c r="J4" s="10" t="inlineStr">
        <is>
          <t>Search result</t>
        </is>
      </c>
      <c r="K4" s="10" t="inlineStr">
        <is>
          <t>Head of international or Portugal desk</t>
        </is>
      </c>
      <c r="L4" s="10" t="inlineStr">
        <is>
          <t>LinkedIn (named role), then company email</t>
        </is>
      </c>
      <c r="M4" s="10" t="inlineStr">
        <is>
          <t>Wealth Partner</t>
        </is>
      </c>
      <c r="N4" s="14">
        <f>INDEX(Settings!$B$4:$B$15,MATCH(M4,Settings!$A$4:$A$15,0))</f>
        <v/>
      </c>
      <c r="O4" s="15">
        <f>IF(E4="A",IF(I4&gt;=2022,Settings!$B$18,Settings!$B$19),IF(E4="B",Settings!$B$20,Settings!$B$21))+IF(F4="S",Settings!$B$22,0)</f>
        <v/>
      </c>
      <c r="P4" s="14">
        <f>N4*O4</f>
        <v/>
      </c>
      <c r="Q4" s="16">
        <f>P4*INDEX(Settings!$B$25:$B$27,MATCH(F4,Settings!$A$25:$A$27,0))</f>
        <v/>
      </c>
      <c r="R4" s="10" t="inlineStr">
        <is>
          <t>To contact</t>
        </is>
      </c>
      <c r="S4" s="10" t="inlineStr">
        <is>
          <t>Touch 1 (sponsors/outreach/v3)</t>
        </is>
      </c>
      <c r="T4" s="10" t="inlineStr">
        <is>
          <t>2026-11-09</t>
        </is>
      </c>
      <c r="U4" s="10" t="inlineStr">
        <is>
          <t>Partner</t>
        </is>
      </c>
      <c r="V4" s="10" t="inlineStr">
        <is>
          <t>France</t>
        </is>
      </c>
    </row>
    <row r="5">
      <c r="A5" s="10" t="inlineStr">
        <is>
          <t>S182</t>
        </is>
      </c>
      <c r="B5" s="11" t="inlineStr">
        <is>
          <t>Green Ocean Global Advisors</t>
        </is>
      </c>
      <c r="C5" s="10" t="inlineStr">
        <is>
          <t>Cross-border wealth adviser (private)</t>
        </is>
      </c>
      <c r="D5" s="10" t="inlineStr">
        <is>
          <t>US</t>
        </is>
      </c>
      <c r="E5" s="12" t="inlineStr">
        <is>
          <t>A</t>
        </is>
      </c>
      <c r="F5" s="10" t="inlineStr">
        <is>
          <t>S</t>
        </is>
      </c>
      <c r="G5" s="13" t="inlineStr">
        <is>
          <t>https://podcastaddict.com/episode/https%3A%2F%2Fwww.podtrac.com%2Fpts%2Fredirect.mp3%2Ftraffic.megaphone.fm%2FTPGL5408537107.mp3&amp;podcastId=6068358</t>
        </is>
      </c>
      <c r="H5" s="10" t="inlineStr">
        <is>
          <t>Wealth Partner tier (D33): Lisbon-based cross-border planning for Americans in Portugal (podcast, June 2026) (prompt 15)</t>
        </is>
      </c>
      <c r="I5" s="10" t="n">
        <v>2026</v>
      </c>
      <c r="J5" s="10" t="inlineStr">
        <is>
          <t>Search result</t>
        </is>
      </c>
      <c r="K5" s="10" t="inlineStr">
        <is>
          <t>Head of international or Portugal desk</t>
        </is>
      </c>
      <c r="L5" s="10" t="inlineStr">
        <is>
          <t>LinkedIn (named role), then company email</t>
        </is>
      </c>
      <c r="M5" s="10" t="inlineStr">
        <is>
          <t>Wealth Partner</t>
        </is>
      </c>
      <c r="N5" s="14">
        <f>INDEX(Settings!$B$4:$B$15,MATCH(M5,Settings!$A$4:$A$15,0))</f>
        <v/>
      </c>
      <c r="O5" s="15">
        <f>IF(E5="A",IF(I5&gt;=2022,Settings!$B$18,Settings!$B$19),IF(E5="B",Settings!$B$20,Settings!$B$21))+IF(F5="S",Settings!$B$22,0)</f>
        <v/>
      </c>
      <c r="P5" s="14">
        <f>N5*O5</f>
        <v/>
      </c>
      <c r="Q5" s="16">
        <f>P5*INDEX(Settings!$B$25:$B$27,MATCH(F5,Settings!$A$25:$A$27,0))</f>
        <v/>
      </c>
      <c r="R5" s="10" t="inlineStr">
        <is>
          <t>To contact</t>
        </is>
      </c>
      <c r="S5" s="10" t="inlineStr">
        <is>
          <t>Touch 1 (sponsors/outreach/v3)</t>
        </is>
      </c>
      <c r="T5" s="10" t="inlineStr">
        <is>
          <t>2026-11-09</t>
        </is>
      </c>
      <c r="U5" s="10" t="inlineStr">
        <is>
          <t>Partner</t>
        </is>
      </c>
      <c r="V5" s="10" t="inlineStr">
        <is>
          <t>United States</t>
        </is>
      </c>
    </row>
    <row r="6">
      <c r="A6" s="10" t="inlineStr">
        <is>
          <t>S183</t>
        </is>
      </c>
      <c r="B6" s="11" t="inlineStr">
        <is>
          <t>Liberty Atlantic Advisors</t>
        </is>
      </c>
      <c r="C6" s="10" t="inlineStr">
        <is>
          <t>Cross-border wealth adviser (private)</t>
        </is>
      </c>
      <c r="D6" s="10" t="inlineStr">
        <is>
          <t>US</t>
        </is>
      </c>
      <c r="E6" s="12" t="inlineStr">
        <is>
          <t>A</t>
        </is>
      </c>
      <c r="F6" s="10" t="inlineStr">
        <is>
          <t>S</t>
        </is>
      </c>
      <c r="G6" s="13" t="inlineStr">
        <is>
          <t>https://www.kiplinger.com/author/ricardo-jesus-mba</t>
        </is>
      </c>
      <c r="H6" s="10" t="inlineStr">
        <is>
          <t>Wealth Partner tier (D33): Fiduciary residency and international tax planning for Americans in Portugal (prompt 15)</t>
        </is>
      </c>
      <c r="I6" s="10" t="n">
        <v>2026</v>
      </c>
      <c r="J6" s="10" t="inlineStr">
        <is>
          <t>Search result</t>
        </is>
      </c>
      <c r="K6" s="10" t="inlineStr">
        <is>
          <t>Head of international or Portugal desk</t>
        </is>
      </c>
      <c r="L6" s="10" t="inlineStr">
        <is>
          <t>LinkedIn (named role), then company email</t>
        </is>
      </c>
      <c r="M6" s="10" t="inlineStr">
        <is>
          <t>Wealth Partner</t>
        </is>
      </c>
      <c r="N6" s="14">
        <f>INDEX(Settings!$B$4:$B$15,MATCH(M6,Settings!$A$4:$A$15,0))</f>
        <v/>
      </c>
      <c r="O6" s="15">
        <f>IF(E6="A",IF(I6&gt;=2022,Settings!$B$18,Settings!$B$19),IF(E6="B",Settings!$B$20,Settings!$B$21))+IF(F6="S",Settings!$B$22,0)</f>
        <v/>
      </c>
      <c r="P6" s="14">
        <f>N6*O6</f>
        <v/>
      </c>
      <c r="Q6" s="16">
        <f>P6*INDEX(Settings!$B$25:$B$27,MATCH(F6,Settings!$A$25:$A$27,0))</f>
        <v/>
      </c>
      <c r="R6" s="10" t="inlineStr">
        <is>
          <t>To contact</t>
        </is>
      </c>
      <c r="S6" s="10" t="inlineStr">
        <is>
          <t>Touch 1 (sponsors/outreach/v3)</t>
        </is>
      </c>
      <c r="T6" s="10" t="inlineStr">
        <is>
          <t>2026-11-09</t>
        </is>
      </c>
      <c r="U6" s="10" t="inlineStr">
        <is>
          <t>Partner</t>
        </is>
      </c>
      <c r="V6" s="10" t="inlineStr">
        <is>
          <t>United States</t>
        </is>
      </c>
    </row>
    <row r="7">
      <c r="A7" s="10" t="inlineStr">
        <is>
          <t>S184</t>
        </is>
      </c>
      <c r="B7" s="11" t="inlineStr">
        <is>
          <t>Lisbon Family Office</t>
        </is>
      </c>
      <c r="C7" s="10" t="inlineStr">
        <is>
          <t>Family office (private)</t>
        </is>
      </c>
      <c r="D7" s="10" t="inlineStr">
        <is>
          <t>LU, FR, CH, BR, US, IL</t>
        </is>
      </c>
      <c r="E7" s="12" t="inlineStr">
        <is>
          <t>A</t>
        </is>
      </c>
      <c r="F7" s="10" t="inlineStr">
        <is>
          <t>S</t>
        </is>
      </c>
      <c r="G7" s="13" t="inlineStr">
        <is>
          <t>https://altss.com/profile/lisbon-family-office</t>
        </is>
      </c>
      <c r="H7" s="10" t="inlineStr">
        <is>
          <t>Wealth Partner tier (D33): CMVM-regulated multi-family office; existing MFOs mainly target non-resident clients (prompt 15)</t>
        </is>
      </c>
      <c r="I7" s="10" t="n">
        <v>2025</v>
      </c>
      <c r="J7" s="10" t="inlineStr">
        <is>
          <t>Search result</t>
        </is>
      </c>
      <c r="K7" s="10" t="inlineStr">
        <is>
          <t>Head of international or Portugal desk</t>
        </is>
      </c>
      <c r="L7" s="10" t="inlineStr">
        <is>
          <t>LinkedIn (named role), then company email</t>
        </is>
      </c>
      <c r="M7" s="10" t="inlineStr">
        <is>
          <t>Wealth Partner</t>
        </is>
      </c>
      <c r="N7" s="14">
        <f>INDEX(Settings!$B$4:$B$15,MATCH(M7,Settings!$A$4:$A$15,0))</f>
        <v/>
      </c>
      <c r="O7" s="15">
        <f>IF(E7="A",IF(I7&gt;=2022,Settings!$B$18,Settings!$B$19),IF(E7="B",Settings!$B$20,Settings!$B$21))+IF(F7="S",Settings!$B$22,0)</f>
        <v/>
      </c>
      <c r="P7" s="14">
        <f>N7*O7</f>
        <v/>
      </c>
      <c r="Q7" s="16">
        <f>P7*INDEX(Settings!$B$25:$B$27,MATCH(F7,Settings!$A$25:$A$27,0))</f>
        <v/>
      </c>
      <c r="R7" s="10" t="inlineStr">
        <is>
          <t>To contact</t>
        </is>
      </c>
      <c r="S7" s="10" t="inlineStr">
        <is>
          <t>Touch 1 (sponsors/outreach/v3)</t>
        </is>
      </c>
      <c r="T7" s="10" t="inlineStr">
        <is>
          <t>2026-11-09</t>
        </is>
      </c>
      <c r="U7" s="10" t="inlineStr">
        <is>
          <t>Partner</t>
        </is>
      </c>
      <c r="V7" s="10" t="inlineStr">
        <is>
          <t>Portugal</t>
        </is>
      </c>
    </row>
    <row r="8">
      <c r="A8" s="10" t="inlineStr">
        <is>
          <t>S185</t>
        </is>
      </c>
      <c r="B8" s="11" t="inlineStr">
        <is>
          <t>Neofa</t>
        </is>
      </c>
      <c r="C8" s="10" t="inlineStr">
        <is>
          <t>International tax adviser (private)</t>
        </is>
      </c>
      <c r="D8" s="10" t="inlineStr">
        <is>
          <t>FR</t>
        </is>
      </c>
      <c r="E8" s="12" t="inlineStr">
        <is>
          <t>A</t>
        </is>
      </c>
      <c r="F8" s="10" t="inlineStr">
        <is>
          <t>S</t>
        </is>
      </c>
      <c r="G8" s="13" t="inlineStr">
        <is>
          <t>https://neofa.com/fr/fiscalite/fiscalite-des-particuliers/conseil-fiscalite-internationale/exit-tax-france/</t>
        </is>
      </c>
      <c r="H8" s="10" t="inlineStr">
        <is>
          <t>Wealth Partner tier (D33): French international tax firm; guides on leaving France for Spain and Portugal (prompt 15)</t>
        </is>
      </c>
      <c r="I8" s="10" t="n">
        <v>2026</v>
      </c>
      <c r="J8" s="10" t="inlineStr">
        <is>
          <t>Search result</t>
        </is>
      </c>
      <c r="K8" s="10" t="inlineStr">
        <is>
          <t>Partner, private clients</t>
        </is>
      </c>
      <c r="L8" s="10" t="inlineStr">
        <is>
          <t>LinkedIn (named role), then company email</t>
        </is>
      </c>
      <c r="M8" s="10" t="inlineStr">
        <is>
          <t>Wealth Partner</t>
        </is>
      </c>
      <c r="N8" s="14">
        <f>INDEX(Settings!$B$4:$B$15,MATCH(M8,Settings!$A$4:$A$15,0))</f>
        <v/>
      </c>
      <c r="O8" s="15">
        <f>IF(E8="A",IF(I8&gt;=2022,Settings!$B$18,Settings!$B$19),IF(E8="B",Settings!$B$20,Settings!$B$21))+IF(F8="S",Settings!$B$22,0)</f>
        <v/>
      </c>
      <c r="P8" s="14">
        <f>N8*O8</f>
        <v/>
      </c>
      <c r="Q8" s="16">
        <f>P8*INDEX(Settings!$B$25:$B$27,MATCH(F8,Settings!$A$25:$A$27,0))</f>
        <v/>
      </c>
      <c r="R8" s="10" t="inlineStr">
        <is>
          <t>To contact</t>
        </is>
      </c>
      <c r="S8" s="10" t="inlineStr">
        <is>
          <t>Touch 1 (sponsors/outreach/v3)</t>
        </is>
      </c>
      <c r="T8" s="10" t="inlineStr">
        <is>
          <t>2026-11-09</t>
        </is>
      </c>
      <c r="U8" s="10" t="inlineStr">
        <is>
          <t>Partner</t>
        </is>
      </c>
      <c r="V8" s="10" t="inlineStr">
        <is>
          <t>France</t>
        </is>
      </c>
    </row>
    <row r="9">
      <c r="A9" s="10" t="inlineStr">
        <is>
          <t>S170</t>
        </is>
      </c>
      <c r="B9" s="11" t="inlineStr">
        <is>
          <t>Millennium bcp Private Banking</t>
        </is>
      </c>
      <c r="C9" s="10" t="inlineStr">
        <is>
          <t>Private banking / wealth / private client</t>
        </is>
      </c>
      <c r="D9" s="10" t="inlineStr">
        <is>
          <t>LU, FR, CH, BR, US, IL</t>
        </is>
      </c>
      <c r="E9" s="12" t="inlineStr">
        <is>
          <t>A</t>
        </is>
      </c>
      <c r="F9" s="10" t="inlineStr">
        <is>
          <t>L</t>
        </is>
      </c>
      <c r="G9" s="13" t="inlineStr">
        <is>
          <t>https://chambers.com/department/millennium-bcp-private-banks-high-net-worth-21:2699:174:1:249515</t>
        </is>
      </c>
      <c r="H9" s="10" t="inlineStr">
        <is>
          <t>Ranked by Chambers in private banking (High Net Worth).</t>
        </is>
      </c>
      <c r="I9" s="10" t="n">
        <v>2026</v>
      </c>
      <c r="J9" s="10" t="inlineStr">
        <is>
          <t>Search result, not opened</t>
        </is>
      </c>
      <c r="K9" s="10" t="inlineStr">
        <is>
          <t>Head of private clients / Portugal desk</t>
        </is>
      </c>
      <c r="L9" s="10" t="inlineStr">
        <is>
          <t>Website: millenniumbcp.pt</t>
        </is>
      </c>
      <c r="M9" s="10" t="inlineStr">
        <is>
          <t>Wealth Partner</t>
        </is>
      </c>
      <c r="N9" s="14">
        <f>INDEX(Settings!$B$4:$B$15,MATCH(M9,Settings!$A$4:$A$15,0))</f>
        <v/>
      </c>
      <c r="O9" s="15">
        <f>IF(E9="A",IF(I9&gt;=2022,Settings!$B$18,Settings!$B$19),IF(E9="B",Settings!$B$20,Settings!$B$21))+IF(F9="S",Settings!$B$22,0)</f>
        <v/>
      </c>
      <c r="P9" s="14">
        <f>N9*O9</f>
        <v/>
      </c>
      <c r="Q9" s="16">
        <f>P9*INDEX(Settings!$B$25:$B$27,MATCH(F9,Settings!$A$25:$A$27,0))</f>
        <v/>
      </c>
      <c r="R9" s="10" t="inlineStr">
        <is>
          <t>Not contacted</t>
        </is>
      </c>
      <c r="S9" s="10" t="inlineStr">
        <is>
          <t>Approach with brochure (D40)</t>
        </is>
      </c>
      <c r="T9" s="10" t="inlineStr"/>
      <c r="U9" s="10" t="inlineStr">
        <is>
          <t>Partner</t>
        </is>
      </c>
      <c r="V9" s="10" t="inlineStr">
        <is>
          <t>not assessed</t>
        </is>
      </c>
    </row>
    <row r="10">
      <c r="A10" s="10" t="inlineStr">
        <is>
          <t>S186</t>
        </is>
      </c>
      <c r="B10" s="11" t="inlineStr">
        <is>
          <t>Banco ATLANTICO Europa</t>
        </is>
      </c>
      <c r="C10" s="10" t="inlineStr">
        <is>
          <t>Bank (private)</t>
        </is>
      </c>
      <c r="D10" s="10" t="inlineStr">
        <is>
          <t>LU, FR, CH, BR, US, IL</t>
        </is>
      </c>
      <c r="E10" s="12" t="inlineStr">
        <is>
          <t>A</t>
        </is>
      </c>
      <c r="F10" s="10" t="inlineStr">
        <is>
          <t>M</t>
        </is>
      </c>
      <c r="G10" s="13" t="inlineStr">
        <is>
          <t>https://www.portugalresident.com/the-bank-for-people-of-the-world-in-portugal/</t>
        </is>
      </c>
      <c r="H10" s="10" t="inlineStr">
        <is>
          <t>Wealth Partner tier (D33): Paid sponsored text in Portugal Resident aimed at non-residents: proven spend on an international audience (prompt 15)</t>
        </is>
      </c>
      <c r="I10" s="10" t="n">
        <v>2025</v>
      </c>
      <c r="J10" s="10" t="inlineStr">
        <is>
          <t>Search result</t>
        </is>
      </c>
      <c r="K10" s="10" t="inlineStr">
        <is>
          <t>Head of international or Portugal desk</t>
        </is>
      </c>
      <c r="L10" s="10" t="inlineStr">
        <is>
          <t>LinkedIn (named role), then company email</t>
        </is>
      </c>
      <c r="M10" s="10" t="inlineStr">
        <is>
          <t>Wealth Partner</t>
        </is>
      </c>
      <c r="N10" s="14">
        <f>INDEX(Settings!$B$4:$B$15,MATCH(M10,Settings!$A$4:$A$15,0))</f>
        <v/>
      </c>
      <c r="O10" s="15">
        <f>IF(E10="A",IF(I10&gt;=2022,Settings!$B$18,Settings!$B$19),IF(E10="B",Settings!$B$20,Settings!$B$21))+IF(F10="S",Settings!$B$22,0)</f>
        <v/>
      </c>
      <c r="P10" s="14">
        <f>N10*O10</f>
        <v/>
      </c>
      <c r="Q10" s="16">
        <f>P10*INDEX(Settings!$B$25:$B$27,MATCH(F10,Settings!$A$25:$A$27,0))</f>
        <v/>
      </c>
      <c r="R10" s="10" t="inlineStr">
        <is>
          <t>To contact</t>
        </is>
      </c>
      <c r="S10" s="10" t="inlineStr">
        <is>
          <t>Touch 1 (sponsors/outreach/v3)</t>
        </is>
      </c>
      <c r="T10" s="10" t="inlineStr">
        <is>
          <t>2026-11-09</t>
        </is>
      </c>
      <c r="U10" s="10" t="inlineStr">
        <is>
          <t>Partner</t>
        </is>
      </c>
      <c r="V10" s="10" t="inlineStr">
        <is>
          <t>Angola</t>
        </is>
      </c>
    </row>
    <row r="11">
      <c r="A11" s="10" t="inlineStr">
        <is>
          <t>S187</t>
        </is>
      </c>
      <c r="B11" s="11" t="inlineStr">
        <is>
          <t>Blacktower Financial Management</t>
        </is>
      </c>
      <c r="C11" s="10" t="inlineStr">
        <is>
          <t>Cross-border wealth adviser (private)</t>
        </is>
      </c>
      <c r="D11" s="10" t="inlineStr">
        <is>
          <t>US</t>
        </is>
      </c>
      <c r="E11" s="12" t="inlineStr">
        <is>
          <t>A</t>
        </is>
      </c>
      <c r="F11" s="10" t="inlineStr">
        <is>
          <t>M</t>
        </is>
      </c>
      <c r="G11" s="13" t="inlineStr">
        <is>
          <t>https://international-adviser.com/blacktower-unveils-portugal-expat-service-for-us-nationals/</t>
        </is>
      </c>
      <c r="H11" s="10" t="inlineStr">
        <is>
          <t>Wealth Partner tier (D33): American desk for US nationals relocating to Portugal (prompt 15)</t>
        </is>
      </c>
      <c r="I11" s="10" t="n">
        <v>2022</v>
      </c>
      <c r="J11" s="10" t="inlineStr">
        <is>
          <t>Search result</t>
        </is>
      </c>
      <c r="K11" s="10" t="inlineStr">
        <is>
          <t>Head of international or Portugal desk</t>
        </is>
      </c>
      <c r="L11" s="10" t="inlineStr">
        <is>
          <t>LinkedIn (named role), then company email</t>
        </is>
      </c>
      <c r="M11" s="10" t="inlineStr">
        <is>
          <t>Wealth Partner</t>
        </is>
      </c>
      <c r="N11" s="14">
        <f>INDEX(Settings!$B$4:$B$15,MATCH(M11,Settings!$A$4:$A$15,0))</f>
        <v/>
      </c>
      <c r="O11" s="15">
        <f>IF(E11="A",IF(I11&gt;=2022,Settings!$B$18,Settings!$B$19),IF(E11="B",Settings!$B$20,Settings!$B$21))+IF(F11="S",Settings!$B$22,0)</f>
        <v/>
      </c>
      <c r="P11" s="14">
        <f>N11*O11</f>
        <v/>
      </c>
      <c r="Q11" s="16">
        <f>P11*INDEX(Settings!$B$25:$B$27,MATCH(F11,Settings!$A$25:$A$27,0))</f>
        <v/>
      </c>
      <c r="R11" s="10" t="inlineStr">
        <is>
          <t>To contact</t>
        </is>
      </c>
      <c r="S11" s="10" t="inlineStr">
        <is>
          <t>Touch 1 (sponsors/outreach/v3)</t>
        </is>
      </c>
      <c r="T11" s="10" t="inlineStr">
        <is>
          <t>2026-11-09</t>
        </is>
      </c>
      <c r="U11" s="10" t="inlineStr">
        <is>
          <t>Partner</t>
        </is>
      </c>
      <c r="V11" s="10" t="inlineStr">
        <is>
          <t>Gibraltar / UK</t>
        </is>
      </c>
    </row>
    <row r="12">
      <c r="A12" s="10" t="inlineStr">
        <is>
          <t>S188</t>
        </is>
      </c>
      <c r="B12" s="11" t="inlineStr">
        <is>
          <t>Dixcart (Portugal)</t>
        </is>
      </c>
      <c r="C12" s="10" t="inlineStr">
        <is>
          <t>Corporate and family-office services (private)</t>
        </is>
      </c>
      <c r="D12" s="10" t="inlineStr">
        <is>
          <t>LU, FR, CH, US, IL</t>
        </is>
      </c>
      <c r="E12" s="12" t="inlineStr">
        <is>
          <t>A</t>
        </is>
      </c>
      <c r="F12" s="10" t="inlineStr">
        <is>
          <t>M</t>
        </is>
      </c>
      <c r="G12" s="13" t="inlineStr">
        <is>
          <t>https://www.dixcart.com/es/?p=612</t>
        </is>
      </c>
      <c r="H12" s="10" t="inlineStr">
        <is>
          <t>Wealth Partner tier (D33): Family office and relocation services in Portugal for international families (prompt 15)</t>
        </is>
      </c>
      <c r="I12" s="10" t="n">
        <v>2025</v>
      </c>
      <c r="J12" s="10" t="inlineStr">
        <is>
          <t>Search result</t>
        </is>
      </c>
      <c r="K12" s="10" t="inlineStr">
        <is>
          <t>Head of international or Portugal desk</t>
        </is>
      </c>
      <c r="L12" s="10" t="inlineStr">
        <is>
          <t>LinkedIn (named role), then company email</t>
        </is>
      </c>
      <c r="M12" s="10" t="inlineStr">
        <is>
          <t>Wealth Partner</t>
        </is>
      </c>
      <c r="N12" s="14">
        <f>INDEX(Settings!$B$4:$B$15,MATCH(M12,Settings!$A$4:$A$15,0))</f>
        <v/>
      </c>
      <c r="O12" s="15">
        <f>IF(E12="A",IF(I12&gt;=2022,Settings!$B$18,Settings!$B$19),IF(E12="B",Settings!$B$20,Settings!$B$21))+IF(F12="S",Settings!$B$22,0)</f>
        <v/>
      </c>
      <c r="P12" s="14">
        <f>N12*O12</f>
        <v/>
      </c>
      <c r="Q12" s="16">
        <f>P12*INDEX(Settings!$B$25:$B$27,MATCH(F12,Settings!$A$25:$A$27,0))</f>
        <v/>
      </c>
      <c r="R12" s="10" t="inlineStr">
        <is>
          <t>To contact</t>
        </is>
      </c>
      <c r="S12" s="10" t="inlineStr">
        <is>
          <t>Touch 1 (sponsors/outreach/v3)</t>
        </is>
      </c>
      <c r="T12" s="10" t="inlineStr">
        <is>
          <t>2026-11-09</t>
        </is>
      </c>
      <c r="U12" s="10" t="inlineStr">
        <is>
          <t>Partner</t>
        </is>
      </c>
      <c r="V12" s="10" t="inlineStr">
        <is>
          <t>United Kingdom</t>
        </is>
      </c>
    </row>
    <row r="13">
      <c r="A13" s="10" t="inlineStr">
        <is>
          <t>S189</t>
        </is>
      </c>
      <c r="B13" s="11" t="inlineStr">
        <is>
          <t>Ombria Algarve (Viceroy Residences)</t>
        </is>
      </c>
      <c r="C13" s="10" t="inlineStr">
        <is>
          <t>Prime developer (private)</t>
        </is>
      </c>
      <c r="D13" s="10" t="inlineStr">
        <is>
          <t>FR, LU, CH, US</t>
        </is>
      </c>
      <c r="E13" s="12" t="inlineStr">
        <is>
          <t>A</t>
        </is>
      </c>
      <c r="F13" s="10" t="inlineStr">
        <is>
          <t>M</t>
        </is>
      </c>
      <c r="G13" s="13" t="inlineStr">
        <is>
          <t>https://www.portugalresident.com/80-of-viceroy-residents-already-sold-at-ombria/</t>
        </is>
      </c>
      <c r="H13" s="10" t="inlineStr">
        <is>
          <t>Wealth Partner tier (D33): Algarve resort; buyers British, Dutch, Portuguese, French and American (prompt 15)</t>
        </is>
      </c>
      <c r="I13" s="10" t="n">
        <v>2024</v>
      </c>
      <c r="J13" s="10" t="inlineStr">
        <is>
          <t>Search result</t>
        </is>
      </c>
      <c r="K13" s="10" t="inlineStr">
        <is>
          <t>Sales or marketing director</t>
        </is>
      </c>
      <c r="L13" s="10" t="inlineStr">
        <is>
          <t>LinkedIn (named role), then company email</t>
        </is>
      </c>
      <c r="M13" s="10" t="inlineStr">
        <is>
          <t>Wealth Partner</t>
        </is>
      </c>
      <c r="N13" s="14">
        <f>INDEX(Settings!$B$4:$B$15,MATCH(M13,Settings!$A$4:$A$15,0))</f>
        <v/>
      </c>
      <c r="O13" s="15">
        <f>IF(E13="A",IF(I13&gt;=2022,Settings!$B$18,Settings!$B$19),IF(E13="B",Settings!$B$20,Settings!$B$21))+IF(F13="S",Settings!$B$22,0)</f>
        <v/>
      </c>
      <c r="P13" s="14">
        <f>N13*O13</f>
        <v/>
      </c>
      <c r="Q13" s="16">
        <f>P13*INDEX(Settings!$B$25:$B$27,MATCH(F13,Settings!$A$25:$A$27,0))</f>
        <v/>
      </c>
      <c r="R13" s="10" t="inlineStr">
        <is>
          <t>To contact</t>
        </is>
      </c>
      <c r="S13" s="10" t="inlineStr">
        <is>
          <t>Touch 1 (sponsors/outreach/v3)</t>
        </is>
      </c>
      <c r="T13" s="10" t="inlineStr">
        <is>
          <t>2026-11-09</t>
        </is>
      </c>
      <c r="U13" s="10" t="inlineStr">
        <is>
          <t>Partner</t>
        </is>
      </c>
      <c r="V13" s="10" t="inlineStr">
        <is>
          <t>Finland</t>
        </is>
      </c>
    </row>
    <row r="14">
      <c r="A14" s="10" t="inlineStr">
        <is>
          <t>S190</t>
        </is>
      </c>
      <c r="B14" s="11" t="inlineStr">
        <is>
          <t>Overseas (Karl Lagerfeld Residences Lisbon)</t>
        </is>
      </c>
      <c r="C14" s="10" t="inlineStr">
        <is>
          <t>Prime developer (private)</t>
        </is>
      </c>
      <c r="D14" s="10" t="inlineStr">
        <is>
          <t>FR, BR, US, LU, CH</t>
        </is>
      </c>
      <c r="E14" s="12" t="inlineStr">
        <is>
          <t>A</t>
        </is>
      </c>
      <c r="F14" s="10" t="inlineStr">
        <is>
          <t>M</t>
        </is>
      </c>
      <c r="G14" s="13" t="inlineStr">
        <is>
          <t>https://econews.pt/2026/06/04/karl-lagerfeld-residences-launches-sales-in-10-markets/</t>
        </is>
      </c>
      <c r="H14" s="10" t="inlineStr">
        <is>
          <t>Wealth Partner tier (D33): Branded residences in Lisbon marketed in 10 markets incl. France, the US and Brazil (June 2026) (prompt 15)</t>
        </is>
      </c>
      <c r="I14" s="10" t="n">
        <v>2026</v>
      </c>
      <c r="J14" s="10" t="inlineStr">
        <is>
          <t>Search result</t>
        </is>
      </c>
      <c r="K14" s="10" t="inlineStr">
        <is>
          <t>Sales or marketing director</t>
        </is>
      </c>
      <c r="L14" s="10" t="inlineStr">
        <is>
          <t>LinkedIn (named role), then company email</t>
        </is>
      </c>
      <c r="M14" s="10" t="inlineStr">
        <is>
          <t>Wealth Partner</t>
        </is>
      </c>
      <c r="N14" s="14">
        <f>INDEX(Settings!$B$4:$B$15,MATCH(M14,Settings!$A$4:$A$15,0))</f>
        <v/>
      </c>
      <c r="O14" s="15">
        <f>IF(E14="A",IF(I14&gt;=2022,Settings!$B$18,Settings!$B$19),IF(E14="B",Settings!$B$20,Settings!$B$21))+IF(F14="S",Settings!$B$22,0)</f>
        <v/>
      </c>
      <c r="P14" s="14">
        <f>N14*O14</f>
        <v/>
      </c>
      <c r="Q14" s="16">
        <f>P14*INDEX(Settings!$B$25:$B$27,MATCH(F14,Settings!$A$25:$A$27,0))</f>
        <v/>
      </c>
      <c r="R14" s="10" t="inlineStr">
        <is>
          <t>To contact</t>
        </is>
      </c>
      <c r="S14" s="10" t="inlineStr">
        <is>
          <t>Touch 1 (sponsors/outreach/v3)</t>
        </is>
      </c>
      <c r="T14" s="10" t="inlineStr">
        <is>
          <t>2026-11-09</t>
        </is>
      </c>
      <c r="U14" s="10" t="inlineStr">
        <is>
          <t>Partner</t>
        </is>
      </c>
      <c r="V14" s="10" t="inlineStr">
        <is>
          <t>Portugal</t>
        </is>
      </c>
    </row>
    <row r="15">
      <c r="A15" s="10" t="inlineStr">
        <is>
          <t>S191</t>
        </is>
      </c>
      <c r="B15" s="11" t="inlineStr">
        <is>
          <t>Rivage Properties (The View II)</t>
        </is>
      </c>
      <c r="C15" s="10" t="inlineStr">
        <is>
          <t>Prime developer (private)</t>
        </is>
      </c>
      <c r="D15" s="10" t="inlineStr">
        <is>
          <t>LU, FR, CH</t>
        </is>
      </c>
      <c r="E15" s="12" t="inlineStr">
        <is>
          <t>A</t>
        </is>
      </c>
      <c r="F15" s="10" t="inlineStr">
        <is>
          <t>M</t>
        </is>
      </c>
      <c r="G15" s="13" t="inlineStr">
        <is>
          <t>https://www.essential-business.pt/2024/06/14/rivage-invests-e20-million-in-homes-near-porto/</t>
        </is>
      </c>
      <c r="H15" s="10" t="inlineStr">
        <is>
          <t>Wealth Partner tier (D33): Apartments by the Douro from 755,000 € to 1.5 M€ near Porto (prompt 15)</t>
        </is>
      </c>
      <c r="I15" s="10" t="n">
        <v>2024</v>
      </c>
      <c r="J15" s="10" t="inlineStr">
        <is>
          <t>Search result</t>
        </is>
      </c>
      <c r="K15" s="10" t="inlineStr">
        <is>
          <t>Sales or marketing director</t>
        </is>
      </c>
      <c r="L15" s="10" t="inlineStr">
        <is>
          <t>LinkedIn (named role), then company email</t>
        </is>
      </c>
      <c r="M15" s="10" t="inlineStr">
        <is>
          <t>Wealth Partner</t>
        </is>
      </c>
      <c r="N15" s="14">
        <f>INDEX(Settings!$B$4:$B$15,MATCH(M15,Settings!$A$4:$A$15,0))</f>
        <v/>
      </c>
      <c r="O15" s="15">
        <f>IF(E15="A",IF(I15&gt;=2022,Settings!$B$18,Settings!$B$19),IF(E15="B",Settings!$B$20,Settings!$B$21))+IF(F15="S",Settings!$B$22,0)</f>
        <v/>
      </c>
      <c r="P15" s="14">
        <f>N15*O15</f>
        <v/>
      </c>
      <c r="Q15" s="16">
        <f>P15*INDEX(Settings!$B$25:$B$27,MATCH(F15,Settings!$A$25:$A$27,0))</f>
        <v/>
      </c>
      <c r="R15" s="10" t="inlineStr">
        <is>
          <t>To contact</t>
        </is>
      </c>
      <c r="S15" s="10" t="inlineStr">
        <is>
          <t>Touch 1 (sponsors/outreach/v3)</t>
        </is>
      </c>
      <c r="T15" s="10" t="inlineStr">
        <is>
          <t>2026-11-09</t>
        </is>
      </c>
      <c r="U15" s="10" t="inlineStr">
        <is>
          <t>Partner</t>
        </is>
      </c>
      <c r="V15" s="10" t="inlineStr">
        <is>
          <t>Portugal</t>
        </is>
      </c>
    </row>
    <row r="16">
      <c r="A16" s="10" t="inlineStr">
        <is>
          <t>S192</t>
        </is>
      </c>
      <c r="B16" s="11" t="inlineStr">
        <is>
          <t>Sable International</t>
        </is>
      </c>
      <c r="C16" s="10" t="inlineStr">
        <is>
          <t>Cross-border wealth adviser (private)</t>
        </is>
      </c>
      <c r="D16" s="10" t="inlineStr">
        <is>
          <t>US</t>
        </is>
      </c>
      <c r="E16" s="12" t="inlineStr">
        <is>
          <t>A</t>
        </is>
      </c>
      <c r="F16" s="10" t="inlineStr">
        <is>
          <t>M</t>
        </is>
      </c>
      <c r="G16" s="13" t="inlineStr">
        <is>
          <t>https://www.sableinternational.com/blog/living-in-portugal--is-your-wealth-plan-keeping-up</t>
        </is>
      </c>
      <c r="H16" s="10" t="inlineStr">
        <is>
          <t>Wealth Partner tier (D33): Consultation campaign for people in Portugal with US, UK or South African ties (Nov 2026) (prompt 15)</t>
        </is>
      </c>
      <c r="I16" s="10" t="n">
        <v>2026</v>
      </c>
      <c r="J16" s="10" t="inlineStr">
        <is>
          <t>Search result</t>
        </is>
      </c>
      <c r="K16" s="10" t="inlineStr">
        <is>
          <t>Head of international or Portugal desk</t>
        </is>
      </c>
      <c r="L16" s="10" t="inlineStr">
        <is>
          <t>LinkedIn (named role), then company email</t>
        </is>
      </c>
      <c r="M16" s="10" t="inlineStr">
        <is>
          <t>Wealth Partner</t>
        </is>
      </c>
      <c r="N16" s="14">
        <f>INDEX(Settings!$B$4:$B$15,MATCH(M16,Settings!$A$4:$A$15,0))</f>
        <v/>
      </c>
      <c r="O16" s="15">
        <f>IF(E16="A",IF(I16&gt;=2022,Settings!$B$18,Settings!$B$19),IF(E16="B",Settings!$B$20,Settings!$B$21))+IF(F16="S",Settings!$B$22,0)</f>
        <v/>
      </c>
      <c r="P16" s="14">
        <f>N16*O16</f>
        <v/>
      </c>
      <c r="Q16" s="16">
        <f>P16*INDEX(Settings!$B$25:$B$27,MATCH(F16,Settings!$A$25:$A$27,0))</f>
        <v/>
      </c>
      <c r="R16" s="10" t="inlineStr">
        <is>
          <t>To contact</t>
        </is>
      </c>
      <c r="S16" s="10" t="inlineStr">
        <is>
          <t>Touch 1 (sponsors/outreach/v3)</t>
        </is>
      </c>
      <c r="T16" s="10" t="inlineStr">
        <is>
          <t>2026-11-09</t>
        </is>
      </c>
      <c r="U16" s="10" t="inlineStr">
        <is>
          <t>Partner</t>
        </is>
      </c>
      <c r="V16" s="10" t="inlineStr">
        <is>
          <t>United Kingdom</t>
        </is>
      </c>
    </row>
    <row r="17">
      <c r="A17" s="10" t="inlineStr">
        <is>
          <t>S193</t>
        </is>
      </c>
      <c r="B17" s="11" t="inlineStr">
        <is>
          <t>Sovereign Group (Portugal)</t>
        </is>
      </c>
      <c r="C17" s="10" t="inlineStr">
        <is>
          <t>Corporate and tax services (private)</t>
        </is>
      </c>
      <c r="D17" s="10" t="inlineStr">
        <is>
          <t>LU, FR, CH, US, IL</t>
        </is>
      </c>
      <c r="E17" s="12" t="inlineStr">
        <is>
          <t>A</t>
        </is>
      </c>
      <c r="F17" s="10" t="inlineStr">
        <is>
          <t>M</t>
        </is>
      </c>
      <c r="G17" s="13" t="inlineStr">
        <is>
          <t>https://www.sovereigngroup.com/news/the-ifici-a-sharper-edge-for-attracting-global-talent-to-portugal/</t>
        </is>
      </c>
      <c r="H17" s="10" t="inlineStr">
        <is>
          <t>Wealth Partner tier (D33): Publishes IFICI guidance for people relocating to Portugal (prompt 15)</t>
        </is>
      </c>
      <c r="I17" s="10" t="n">
        <v>2025</v>
      </c>
      <c r="J17" s="10" t="inlineStr">
        <is>
          <t>Search result</t>
        </is>
      </c>
      <c r="K17" s="10" t="inlineStr">
        <is>
          <t>Partner, private clients</t>
        </is>
      </c>
      <c r="L17" s="10" t="inlineStr">
        <is>
          <t>LinkedIn (named role), then company email</t>
        </is>
      </c>
      <c r="M17" s="10" t="inlineStr">
        <is>
          <t>Wealth Partner</t>
        </is>
      </c>
      <c r="N17" s="14">
        <f>INDEX(Settings!$B$4:$B$15,MATCH(M17,Settings!$A$4:$A$15,0))</f>
        <v/>
      </c>
      <c r="O17" s="15">
        <f>IF(E17="A",IF(I17&gt;=2022,Settings!$B$18,Settings!$B$19),IF(E17="B",Settings!$B$20,Settings!$B$21))+IF(F17="S",Settings!$B$22,0)</f>
        <v/>
      </c>
      <c r="P17" s="14">
        <f>N17*O17</f>
        <v/>
      </c>
      <c r="Q17" s="16">
        <f>P17*INDEX(Settings!$B$25:$B$27,MATCH(F17,Settings!$A$25:$A$27,0))</f>
        <v/>
      </c>
      <c r="R17" s="10" t="inlineStr">
        <is>
          <t>To contact</t>
        </is>
      </c>
      <c r="S17" s="10" t="inlineStr">
        <is>
          <t>Touch 1 (sponsors/outreach/v3)</t>
        </is>
      </c>
      <c r="T17" s="10" t="inlineStr">
        <is>
          <t>2026-11-09</t>
        </is>
      </c>
      <c r="U17" s="10" t="inlineStr">
        <is>
          <t>Partner</t>
        </is>
      </c>
      <c r="V17" s="10" t="inlineStr">
        <is>
          <t>Gibraltar</t>
        </is>
      </c>
    </row>
    <row r="18">
      <c r="A18" s="10" t="inlineStr">
        <is>
          <t>S157</t>
        </is>
      </c>
      <c r="B18" s="11" t="inlineStr">
        <is>
          <t>Ando Living</t>
        </is>
      </c>
      <c r="C18" s="10" t="inlineStr">
        <is>
          <t>Developer (Comporta)</t>
        </is>
      </c>
      <c r="D18" s="10" t="inlineStr">
        <is>
          <t>LU, FR, CH, BR, US, IL</t>
        </is>
      </c>
      <c r="E18" s="12" t="inlineStr">
        <is>
          <t>A</t>
        </is>
      </c>
      <c r="F18" s="10" t="inlineStr">
        <is>
          <t>L</t>
        </is>
      </c>
      <c r="G18" s="13" t="inlineStr">
        <is>
          <t>https://www.idealista.pt/en/news/node/71011</t>
        </is>
      </c>
      <c r="H18" s="10" t="inlineStr">
        <is>
          <t>First Comporta project: 16 luxury villas for international buyers.</t>
        </is>
      </c>
      <c r="I18" s="10" t="n">
        <v>2026</v>
      </c>
      <c r="J18" s="10" t="inlineStr">
        <is>
          <t>Search result, not opened</t>
        </is>
      </c>
      <c r="K18" s="10" t="inlineStr">
        <is>
          <t>Fundadores / vendas</t>
        </is>
      </c>
      <c r="L18" s="10" t="inlineStr">
        <is>
          <t>Website contact / LinkedIn</t>
        </is>
      </c>
      <c r="M18" s="10" t="inlineStr">
        <is>
          <t>Area placement (Prime)</t>
        </is>
      </c>
      <c r="N18" s="14">
        <f>INDEX(Settings!$B$4:$B$15,MATCH(M18,Settings!$A$4:$A$15,0))</f>
        <v/>
      </c>
      <c r="O18" s="15">
        <f>IF(E18="A",IF(I18&gt;=2022,Settings!$B$18,Settings!$B$19),IF(E18="B",Settings!$B$20,Settings!$B$21))+IF(F18="S",Settings!$B$22,0)</f>
        <v/>
      </c>
      <c r="P18" s="14">
        <f>N18*O18</f>
        <v/>
      </c>
      <c r="Q18" s="16">
        <f>P18*INDEX(Settings!$B$25:$B$27,MATCH(F18,Settings!$A$25:$A$27,0))</f>
        <v/>
      </c>
      <c r="R18" s="10" t="inlineStr">
        <is>
          <t>Not contacted</t>
        </is>
      </c>
      <c r="S18" s="10" t="inlineStr">
        <is>
          <t>Approach with brochure (D40)</t>
        </is>
      </c>
      <c r="T18" s="10" t="inlineStr"/>
      <c r="U18" s="10" t="inlineStr">
        <is>
          <t>Partner</t>
        </is>
      </c>
      <c r="V18" s="10" t="inlineStr">
        <is>
          <t>not assessed</t>
        </is>
      </c>
    </row>
    <row r="19">
      <c r="A19" s="10" t="inlineStr">
        <is>
          <t>S156</t>
        </is>
      </c>
      <c r="B19" s="11" t="inlineStr">
        <is>
          <t>Herdade da Comporta</t>
        </is>
      </c>
      <c r="C19" s="10" t="inlineStr">
        <is>
          <t>Developer (Comporta)</t>
        </is>
      </c>
      <c r="D19" s="10" t="inlineStr">
        <is>
          <t>LU, FR, CH, BR, US, IL</t>
        </is>
      </c>
      <c r="E19" s="12" t="inlineStr">
        <is>
          <t>A</t>
        </is>
      </c>
      <c r="F19" s="10" t="inlineStr">
        <is>
          <t>L</t>
        </is>
      </c>
      <c r="G19" s="13" t="inlineStr">
        <is>
          <t>https://www.idealista.pt/en/news/node/61843</t>
        </is>
      </c>
      <c r="H19" s="10" t="inlineStr">
        <is>
          <t>The estate bought by the Amorim family and partners; selling land for luxury tourism and residential projects.</t>
        </is>
      </c>
      <c r="I19" s="10" t="n">
        <v>2026</v>
      </c>
      <c r="J19" s="10" t="inlineStr">
        <is>
          <t>Search result, not opened</t>
        </is>
      </c>
      <c r="K19" s="10" t="inlineStr">
        <is>
          <t>Administração / desenvolvimento</t>
        </is>
      </c>
      <c r="L19" s="10" t="inlineStr">
        <is>
          <t>Website: herdadedacomporta.pt</t>
        </is>
      </c>
      <c r="M19" s="10" t="inlineStr">
        <is>
          <t>Area placement (Prime)</t>
        </is>
      </c>
      <c r="N19" s="14">
        <f>INDEX(Settings!$B$4:$B$15,MATCH(M19,Settings!$A$4:$A$15,0))</f>
        <v/>
      </c>
      <c r="O19" s="15">
        <f>IF(E19="A",IF(I19&gt;=2022,Settings!$B$18,Settings!$B$19),IF(E19="B",Settings!$B$20,Settings!$B$21))+IF(F19="S",Settings!$B$22,0)</f>
        <v/>
      </c>
      <c r="P19" s="14">
        <f>N19*O19</f>
        <v/>
      </c>
      <c r="Q19" s="16">
        <f>P19*INDEX(Settings!$B$25:$B$27,MATCH(F19,Settings!$A$25:$A$27,0))</f>
        <v/>
      </c>
      <c r="R19" s="10" t="inlineStr">
        <is>
          <t>Not contacted</t>
        </is>
      </c>
      <c r="S19" s="10" t="inlineStr">
        <is>
          <t>Approach with brochure (D40)</t>
        </is>
      </c>
      <c r="T19" s="10" t="inlineStr"/>
      <c r="U19" s="10" t="inlineStr">
        <is>
          <t>Partner</t>
        </is>
      </c>
      <c r="V19" s="10" t="inlineStr">
        <is>
          <t>not assessed</t>
        </is>
      </c>
    </row>
    <row r="20">
      <c r="A20" s="10" t="inlineStr">
        <is>
          <t>S178</t>
        </is>
      </c>
      <c r="B20" s="11" t="inlineStr">
        <is>
          <t>OneMark Properties</t>
        </is>
      </c>
      <c r="C20" s="10" t="inlineStr">
        <is>
          <t>Developer (Lisbon, Grândola, Sines; Porto and Algarve planned)</t>
        </is>
      </c>
      <c r="D20" s="10" t="inlineStr">
        <is>
          <t>LU, FR, CH, BR, US, IL</t>
        </is>
      </c>
      <c r="E20" s="12" t="inlineStr">
        <is>
          <t>A</t>
        </is>
      </c>
      <c r="F20" s="10" t="inlineStr">
        <is>
          <t>L</t>
        </is>
      </c>
      <c r="G20" s="13" t="inlineStr">
        <is>
          <t>https://www.idealista.pt/news/node/75369</t>
        </is>
      </c>
      <c r="H20" s="10" t="inlineStr">
        <is>
          <t>Founded early 2026 by José Cardoso Botelho (ex-Vanguard CEO); 7 projects in study (ultraluxury, luxury, premium, flex living, mid); initial 100 M€; targets high-net-worth buyers incl. Gulf investors. Pre-launch: ideal Founding Partner</t>
        </is>
      </c>
      <c r="I20" s="10" t="n">
        <v>2026</v>
      </c>
      <c r="J20" s="10" t="inlineStr">
        <is>
          <t>Opened</t>
        </is>
      </c>
      <c r="K20" s="10" t="inlineStr">
        <is>
          <t>Founder / CEO</t>
        </is>
      </c>
      <c r="L20" s="10" t="inlineStr">
        <is>
          <t>Website: to confirm</t>
        </is>
      </c>
      <c r="M20" s="10" t="inlineStr">
        <is>
          <t>Area placement (Prime) + launch</t>
        </is>
      </c>
      <c r="N20" s="14">
        <f>INDEX(Settings!$B$4:$B$15,MATCH(M20,Settings!$A$4:$A$15,0))</f>
        <v/>
      </c>
      <c r="O20" s="15">
        <f>IF(E20="A",IF(I20&gt;=2022,Settings!$B$18,Settings!$B$19),IF(E20="B",Settings!$B$20,Settings!$B$21))+IF(F20="S",Settings!$B$22,0)</f>
        <v/>
      </c>
      <c r="P20" s="14">
        <f>N20*O20</f>
        <v/>
      </c>
      <c r="Q20" s="16">
        <f>P20*INDEX(Settings!$B$25:$B$27,MATCH(F20,Settings!$A$25:$A$27,0))</f>
        <v/>
      </c>
      <c r="R20" s="10" t="inlineStr">
        <is>
          <t>Not contacted</t>
        </is>
      </c>
      <c r="S20" s="10" t="inlineStr">
        <is>
          <t>Private demo (prompt 26) then approach</t>
        </is>
      </c>
      <c r="T20" s="10" t="inlineStr"/>
      <c r="U20" s="10" t="inlineStr">
        <is>
          <t>Partner</t>
        </is>
      </c>
      <c r="V20" s="10" t="inlineStr">
        <is>
          <t>not assessed</t>
        </is>
      </c>
    </row>
    <row r="21">
      <c r="A21" s="10" t="inlineStr">
        <is>
          <t>S159</t>
        </is>
      </c>
      <c r="B21" s="11" t="inlineStr">
        <is>
          <t>Vale do Lobo</t>
        </is>
      </c>
      <c r="C21" s="10" t="inlineStr">
        <is>
          <t>Developer (Algarve · Triângulo Dourado)</t>
        </is>
      </c>
      <c r="D21" s="10" t="inlineStr">
        <is>
          <t>LU, FR, CH, BR, US, IL</t>
        </is>
      </c>
      <c r="E21" s="12" t="inlineStr">
        <is>
          <t>A</t>
        </is>
      </c>
      <c r="F21" s="10" t="inlineStr">
        <is>
          <t>L</t>
        </is>
      </c>
      <c r="G21" s="13" t="inlineStr">
        <is>
          <t>https://www.idealista.pt/en/news/luxury-real-estate-in-portugal/2025/02/06/67912-vale-do-lobo-in-the-algarve-invests-over-eu200-million-in-luxury-homes</t>
        </is>
      </c>
      <c r="H21" s="10" t="inlineStr">
        <is>
          <t>Investing over 200 M€ in new luxury homes; The Residences at Vale do Lobo 40% reserved at groundbreaking.</t>
        </is>
      </c>
      <c r="I21" s="10" t="n">
        <v>2026</v>
      </c>
      <c r="J21" s="10" t="inlineStr">
        <is>
          <t>Search result, not opened</t>
        </is>
      </c>
      <c r="K21" s="10" t="inlineStr">
        <is>
          <t>Direção de vendas internacionais</t>
        </is>
      </c>
      <c r="L21" s="10" t="inlineStr">
        <is>
          <t>Website: valedolobo.com</t>
        </is>
      </c>
      <c r="M21" s="10" t="inlineStr">
        <is>
          <t>Area placement (Prime)</t>
        </is>
      </c>
      <c r="N21" s="14">
        <f>INDEX(Settings!$B$4:$B$15,MATCH(M21,Settings!$A$4:$A$15,0))</f>
        <v/>
      </c>
      <c r="O21" s="15">
        <f>IF(E21="A",IF(I21&gt;=2022,Settings!$B$18,Settings!$B$19),IF(E21="B",Settings!$B$20,Settings!$B$21))+IF(F21="S",Settings!$B$22,0)</f>
        <v/>
      </c>
      <c r="P21" s="14">
        <f>N21*O21</f>
        <v/>
      </c>
      <c r="Q21" s="16">
        <f>P21*INDEX(Settings!$B$25:$B$27,MATCH(F21,Settings!$A$25:$A$27,0))</f>
        <v/>
      </c>
      <c r="R21" s="10" t="inlineStr">
        <is>
          <t>Not contacted</t>
        </is>
      </c>
      <c r="S21" s="10" t="inlineStr">
        <is>
          <t>Approach with brochure (D40)</t>
        </is>
      </c>
      <c r="T21" s="10" t="inlineStr"/>
      <c r="U21" s="10" t="inlineStr">
        <is>
          <t>Partner</t>
        </is>
      </c>
      <c r="V21" s="10" t="inlineStr">
        <is>
          <t>not assessed</t>
        </is>
      </c>
    </row>
    <row r="22">
      <c r="A22" s="10" t="inlineStr">
        <is>
          <t>S194</t>
        </is>
      </c>
      <c r="B22" s="11" t="inlineStr">
        <is>
          <t>Bradesco Europa (Luxembourg)</t>
        </is>
      </c>
      <c r="C22" s="10" t="inlineStr">
        <is>
          <t>Private bank (private)</t>
        </is>
      </c>
      <c r="D22" s="10" t="inlineStr">
        <is>
          <t>BR, LU</t>
        </is>
      </c>
      <c r="E22" s="12" t="inlineStr">
        <is>
          <t>A</t>
        </is>
      </c>
      <c r="F22" s="10" t="inlineStr">
        <is>
          <t>L</t>
        </is>
      </c>
      <c r="G22" s="13" t="inlineStr">
        <is>
          <t>https://www.suno.com.br/noticias/bradesco-estuda-atender-milionarios-portugal</t>
        </is>
      </c>
      <c r="H22" s="10" t="inlineStr">
        <is>
          <t>Wealth Partner tier (D33): Luxembourg unit serves Brazilian clients who moved to Portugal; studying a Portugal office (prompt 15)</t>
        </is>
      </c>
      <c r="I22" s="10" t="n">
        <v>2026</v>
      </c>
      <c r="J22" s="10" t="inlineStr">
        <is>
          <t>Search result</t>
        </is>
      </c>
      <c r="K22" s="10" t="inlineStr">
        <is>
          <t>Head of international or Portugal desk</t>
        </is>
      </c>
      <c r="L22" s="10" t="inlineStr">
        <is>
          <t>LinkedIn (named role), then company email</t>
        </is>
      </c>
      <c r="M22" s="10" t="inlineStr">
        <is>
          <t>Wealth Partner</t>
        </is>
      </c>
      <c r="N22" s="14">
        <f>INDEX(Settings!$B$4:$B$15,MATCH(M22,Settings!$A$4:$A$15,0))</f>
        <v/>
      </c>
      <c r="O22" s="15">
        <f>IF(E22="A",IF(I22&gt;=2022,Settings!$B$18,Settings!$B$19),IF(E22="B",Settings!$B$20,Settings!$B$21))+IF(F22="S",Settings!$B$22,0)</f>
        <v/>
      </c>
      <c r="P22" s="14">
        <f>N22*O22</f>
        <v/>
      </c>
      <c r="Q22" s="16">
        <f>P22*INDEX(Settings!$B$25:$B$27,MATCH(F22,Settings!$A$25:$A$27,0))</f>
        <v/>
      </c>
      <c r="R22" s="10" t="inlineStr">
        <is>
          <t>To contact</t>
        </is>
      </c>
      <c r="S22" s="10" t="inlineStr">
        <is>
          <t>Touch 1 (sponsors/outreach/v3)</t>
        </is>
      </c>
      <c r="T22" s="10" t="inlineStr">
        <is>
          <t>2026-11-09</t>
        </is>
      </c>
      <c r="U22" s="10" t="inlineStr">
        <is>
          <t>Partner</t>
        </is>
      </c>
      <c r="V22" s="10" t="inlineStr">
        <is>
          <t>Brazil</t>
        </is>
      </c>
    </row>
    <row r="23">
      <c r="A23" s="10" t="inlineStr">
        <is>
          <t>S195</t>
        </is>
      </c>
      <c r="B23" s="11" t="inlineStr">
        <is>
          <t>Degroof Petercam Luxembourg</t>
        </is>
      </c>
      <c r="C23" s="10" t="inlineStr">
        <is>
          <t>Private bank (private)</t>
        </is>
      </c>
      <c r="D23" s="10" t="inlineStr">
        <is>
          <t>LU, FR</t>
        </is>
      </c>
      <c r="E23" s="12" t="inlineStr">
        <is>
          <t>A</t>
        </is>
      </c>
      <c r="F23" s="10" t="inlineStr">
        <is>
          <t>L</t>
        </is>
      </c>
      <c r="G23" s="13" t="inlineStr">
        <is>
          <t>https://www.degroofpetercam.com/en-lu/resident-in-portugal</t>
        </is>
      </c>
      <c r="H23" s="10" t="inlineStr">
        <is>
          <t>Wealth Partner tier (D33): Dedicated 'Resident in Portugal' offer and team from Luxembourg (prompt 15)</t>
        </is>
      </c>
      <c r="I23" s="10" t="n">
        <v>2026</v>
      </c>
      <c r="J23" s="10" t="inlineStr">
        <is>
          <t>Search result</t>
        </is>
      </c>
      <c r="K23" s="10" t="inlineStr">
        <is>
          <t>Head of international or Portugal desk</t>
        </is>
      </c>
      <c r="L23" s="10" t="inlineStr">
        <is>
          <t>LinkedIn (named role), then company email</t>
        </is>
      </c>
      <c r="M23" s="10" t="inlineStr">
        <is>
          <t>Wealth Partner</t>
        </is>
      </c>
      <c r="N23" s="14">
        <f>INDEX(Settings!$B$4:$B$15,MATCH(M23,Settings!$A$4:$A$15,0))</f>
        <v/>
      </c>
      <c r="O23" s="15">
        <f>IF(E23="A",IF(I23&gt;=2022,Settings!$B$18,Settings!$B$19),IF(E23="B",Settings!$B$20,Settings!$B$21))+IF(F23="S",Settings!$B$22,0)</f>
        <v/>
      </c>
      <c r="P23" s="14">
        <f>N23*O23</f>
        <v/>
      </c>
      <c r="Q23" s="16">
        <f>P23*INDEX(Settings!$B$25:$B$27,MATCH(F23,Settings!$A$25:$A$27,0))</f>
        <v/>
      </c>
      <c r="R23" s="10" t="inlineStr">
        <is>
          <t>To contact</t>
        </is>
      </c>
      <c r="S23" s="10" t="inlineStr">
        <is>
          <t>Touch 1 (sponsors/outreach/v3)</t>
        </is>
      </c>
      <c r="T23" s="10" t="inlineStr">
        <is>
          <t>2026-11-09</t>
        </is>
      </c>
      <c r="U23" s="10" t="inlineStr">
        <is>
          <t>Partner</t>
        </is>
      </c>
      <c r="V23" s="10" t="inlineStr">
        <is>
          <t>Belgium</t>
        </is>
      </c>
    </row>
    <row r="24">
      <c r="A24" s="10" t="inlineStr">
        <is>
          <t>S196</t>
        </is>
      </c>
      <c r="B24" s="11" t="inlineStr">
        <is>
          <t>Discovery Land Company (Costa Terra Golf &amp; Ocean Club)</t>
        </is>
      </c>
      <c r="C24" s="10" t="inlineStr">
        <is>
          <t>Prime developer (private)</t>
        </is>
      </c>
      <c r="D24" s="10" t="inlineStr">
        <is>
          <t>US, FR, CH, LU</t>
        </is>
      </c>
      <c r="E24" s="12" t="inlineStr">
        <is>
          <t>A</t>
        </is>
      </c>
      <c r="F24" s="10" t="inlineStr">
        <is>
          <t>L</t>
        </is>
      </c>
      <c r="G24" s="13" t="inlineStr">
        <is>
          <t>https://www.idealista.com/news/etiquetas/comporta</t>
        </is>
      </c>
      <c r="H24" s="10" t="inlineStr">
        <is>
          <t>Wealth Partner tier (D33): Costa Terra project in Melides (Grândola) selling plots to international buyers (prompt 15)</t>
        </is>
      </c>
      <c r="I24" s="10" t="n">
        <v>2024</v>
      </c>
      <c r="J24" s="10" t="inlineStr">
        <is>
          <t>Search result</t>
        </is>
      </c>
      <c r="K24" s="10" t="inlineStr">
        <is>
          <t>Sales or marketing director</t>
        </is>
      </c>
      <c r="L24" s="10" t="inlineStr">
        <is>
          <t>LinkedIn (named role), then company email</t>
        </is>
      </c>
      <c r="M24" s="10" t="inlineStr">
        <is>
          <t>Wealth Partner</t>
        </is>
      </c>
      <c r="N24" s="14">
        <f>INDEX(Settings!$B$4:$B$15,MATCH(M24,Settings!$A$4:$A$15,0))</f>
        <v/>
      </c>
      <c r="O24" s="15">
        <f>IF(E24="A",IF(I24&gt;=2022,Settings!$B$18,Settings!$B$19),IF(E24="B",Settings!$B$20,Settings!$B$21))+IF(F24="S",Settings!$B$22,0)</f>
        <v/>
      </c>
      <c r="P24" s="14">
        <f>N24*O24</f>
        <v/>
      </c>
      <c r="Q24" s="16">
        <f>P24*INDEX(Settings!$B$25:$B$27,MATCH(F24,Settings!$A$25:$A$27,0))</f>
        <v/>
      </c>
      <c r="R24" s="10" t="inlineStr">
        <is>
          <t>To contact</t>
        </is>
      </c>
      <c r="S24" s="10" t="inlineStr">
        <is>
          <t>Touch 1 (sponsors/outreach/v3)</t>
        </is>
      </c>
      <c r="T24" s="10" t="inlineStr">
        <is>
          <t>2026-11-09</t>
        </is>
      </c>
      <c r="U24" s="10" t="inlineStr">
        <is>
          <t>Partner</t>
        </is>
      </c>
      <c r="V24" s="10" t="inlineStr">
        <is>
          <t>United States</t>
        </is>
      </c>
    </row>
    <row r="25">
      <c r="A25" s="10" t="inlineStr">
        <is>
          <t>S197</t>
        </is>
      </c>
      <c r="B25" s="11" t="inlineStr">
        <is>
          <t>Edmond de Rothschild</t>
        </is>
      </c>
      <c r="C25" s="10" t="inlineStr">
        <is>
          <t>Private bank (private)</t>
        </is>
      </c>
      <c r="D25" s="10" t="inlineStr">
        <is>
          <t>CH, LU, FR</t>
        </is>
      </c>
      <c r="E25" s="12" t="inlineStr">
        <is>
          <t>A</t>
        </is>
      </c>
      <c r="F25" s="10" t="inlineStr">
        <is>
          <t>L</t>
        </is>
      </c>
      <c r="G25" s="13" t="inlineStr">
        <is>
          <t>https://www.bloomberglinea.com.br/2025/03/26/de-saida-do-brasil-julius-baer-planeja-abrir-escritorio-em-lisboa-e-mira-estrangeiros/</t>
        </is>
      </c>
      <c r="H25" s="10" t="inlineStr">
        <is>
          <t>Wealth Partner tier (D33): Listed among private banks present in Lisbon serving foreigners (prompt 15)</t>
        </is>
      </c>
      <c r="I25" s="10" t="n">
        <v>2025</v>
      </c>
      <c r="J25" s="10" t="inlineStr">
        <is>
          <t>Search result</t>
        </is>
      </c>
      <c r="K25" s="10" t="inlineStr">
        <is>
          <t>Head of international or Portugal desk</t>
        </is>
      </c>
      <c r="L25" s="10" t="inlineStr">
        <is>
          <t>LinkedIn (named role), then company email</t>
        </is>
      </c>
      <c r="M25" s="10" t="inlineStr">
        <is>
          <t>Wealth Partner</t>
        </is>
      </c>
      <c r="N25" s="14">
        <f>INDEX(Settings!$B$4:$B$15,MATCH(M25,Settings!$A$4:$A$15,0))</f>
        <v/>
      </c>
      <c r="O25" s="15">
        <f>IF(E25="A",IF(I25&gt;=2022,Settings!$B$18,Settings!$B$19),IF(E25="B",Settings!$B$20,Settings!$B$21))+IF(F25="S",Settings!$B$22,0)</f>
        <v/>
      </c>
      <c r="P25" s="14">
        <f>N25*O25</f>
        <v/>
      </c>
      <c r="Q25" s="16">
        <f>P25*INDEX(Settings!$B$25:$B$27,MATCH(F25,Settings!$A$25:$A$27,0))</f>
        <v/>
      </c>
      <c r="R25" s="10" t="inlineStr">
        <is>
          <t>To contact</t>
        </is>
      </c>
      <c r="S25" s="10" t="inlineStr">
        <is>
          <t>Touch 1 (sponsors/outreach/v3)</t>
        </is>
      </c>
      <c r="T25" s="10" t="inlineStr">
        <is>
          <t>2026-11-09</t>
        </is>
      </c>
      <c r="U25" s="10" t="inlineStr">
        <is>
          <t>Partner</t>
        </is>
      </c>
      <c r="V25" s="10" t="inlineStr">
        <is>
          <t>Switzerland</t>
        </is>
      </c>
    </row>
    <row r="26">
      <c r="A26" s="10" t="inlineStr">
        <is>
          <t>S198</t>
        </is>
      </c>
      <c r="B26" s="11" t="inlineStr">
        <is>
          <t>Indosuez Wealth Management</t>
        </is>
      </c>
      <c r="C26" s="10" t="inlineStr">
        <is>
          <t>Private bank (private)</t>
        </is>
      </c>
      <c r="D26" s="10" t="inlineStr">
        <is>
          <t>LU, FR, CH</t>
        </is>
      </c>
      <c r="E26" s="12" t="inlineStr">
        <is>
          <t>A</t>
        </is>
      </c>
      <c r="F26" s="10" t="inlineStr">
        <is>
          <t>L</t>
        </is>
      </c>
      <c r="G26" s="13" t="inlineStr">
        <is>
          <t>https://www.privatebankerinternational.com/newsletters/indosuez-wealth-management-sets-up-branch-in-portugal</t>
        </is>
      </c>
      <c r="H26" s="10" t="inlineStr">
        <is>
          <t>Wealth Partner tier (D33): Lisbon branch opened 2024 for family offices, entrepreneurs and expatriates; Portuguese desk in Luxembourg (prompt 15)</t>
        </is>
      </c>
      <c r="I26" s="10" t="n">
        <v>2024</v>
      </c>
      <c r="J26" s="10" t="inlineStr">
        <is>
          <t>Search result</t>
        </is>
      </c>
      <c r="K26" s="10" t="inlineStr">
        <is>
          <t>Head of international or Portugal desk</t>
        </is>
      </c>
      <c r="L26" s="10" t="inlineStr">
        <is>
          <t>LinkedIn (named role), then company email</t>
        </is>
      </c>
      <c r="M26" s="10" t="inlineStr">
        <is>
          <t>Wealth Partner</t>
        </is>
      </c>
      <c r="N26" s="14">
        <f>INDEX(Settings!$B$4:$B$15,MATCH(M26,Settings!$A$4:$A$15,0))</f>
        <v/>
      </c>
      <c r="O26" s="15">
        <f>IF(E26="A",IF(I26&gt;=2022,Settings!$B$18,Settings!$B$19),IF(E26="B",Settings!$B$20,Settings!$B$21))+IF(F26="S",Settings!$B$22,0)</f>
        <v/>
      </c>
      <c r="P26" s="14">
        <f>N26*O26</f>
        <v/>
      </c>
      <c r="Q26" s="16">
        <f>P26*INDEX(Settings!$B$25:$B$27,MATCH(F26,Settings!$A$25:$A$27,0))</f>
        <v/>
      </c>
      <c r="R26" s="10" t="inlineStr">
        <is>
          <t>To contact</t>
        </is>
      </c>
      <c r="S26" s="10" t="inlineStr">
        <is>
          <t>Touch 1 (sponsors/outreach/v3)</t>
        </is>
      </c>
      <c r="T26" s="10" t="inlineStr">
        <is>
          <t>2026-11-09</t>
        </is>
      </c>
      <c r="U26" s="10" t="inlineStr">
        <is>
          <t>Partner</t>
        </is>
      </c>
      <c r="V26" s="10" t="inlineStr">
        <is>
          <t>France (Crédit Agricole)</t>
        </is>
      </c>
    </row>
    <row r="27">
      <c r="A27" s="10" t="inlineStr">
        <is>
          <t>S199</t>
        </is>
      </c>
      <c r="B27" s="11" t="inlineStr">
        <is>
          <t>Morais Leitão</t>
        </is>
      </c>
      <c r="C27" s="10" t="inlineStr">
        <is>
          <t>Law firm, private clients (private)</t>
        </is>
      </c>
      <c r="D27" s="10" t="inlineStr">
        <is>
          <t>LU, FR, CH, BR, US, IL</t>
        </is>
      </c>
      <c r="E27" s="12" t="inlineStr">
        <is>
          <t>A</t>
        </is>
      </c>
      <c r="F27" s="10" t="inlineStr">
        <is>
          <t>L</t>
        </is>
      </c>
      <c r="G27" s="13" t="inlineStr">
        <is>
          <t>https://www.internationaltaxreview.com/itrworldtax/firms/morais-leitao-galvao-teles-soares-da-silva-associados-portugal</t>
        </is>
      </c>
      <c r="H27" s="10" t="inlineStr">
        <is>
          <t>Wealth Partner tier (D33): Tax practice with private clients among its clients (prompt 15)</t>
        </is>
      </c>
      <c r="I27" s="10" t="n">
        <v>2026</v>
      </c>
      <c r="J27" s="10" t="inlineStr">
        <is>
          <t>Search result</t>
        </is>
      </c>
      <c r="K27" s="10" t="inlineStr">
        <is>
          <t>Partner, private clients</t>
        </is>
      </c>
      <c r="L27" s="10" t="inlineStr">
        <is>
          <t>LinkedIn (named role), then company email</t>
        </is>
      </c>
      <c r="M27" s="10" t="inlineStr">
        <is>
          <t>Wealth Partner</t>
        </is>
      </c>
      <c r="N27" s="14">
        <f>INDEX(Settings!$B$4:$B$15,MATCH(M27,Settings!$A$4:$A$15,0))</f>
        <v/>
      </c>
      <c r="O27" s="15">
        <f>IF(E27="A",IF(I27&gt;=2022,Settings!$B$18,Settings!$B$19),IF(E27="B",Settings!$B$20,Settings!$B$21))+IF(F27="S",Settings!$B$22,0)</f>
        <v/>
      </c>
      <c r="P27" s="14">
        <f>N27*O27</f>
        <v/>
      </c>
      <c r="Q27" s="16">
        <f>P27*INDEX(Settings!$B$25:$B$27,MATCH(F27,Settings!$A$25:$A$27,0))</f>
        <v/>
      </c>
      <c r="R27" s="10" t="inlineStr">
        <is>
          <t>To contact</t>
        </is>
      </c>
      <c r="S27" s="10" t="inlineStr">
        <is>
          <t>Touch 1 (sponsors/outreach/v3)</t>
        </is>
      </c>
      <c r="T27" s="10" t="inlineStr">
        <is>
          <t>2026-11-09</t>
        </is>
      </c>
      <c r="U27" s="10" t="inlineStr">
        <is>
          <t>Partner</t>
        </is>
      </c>
      <c r="V27" s="10" t="inlineStr">
        <is>
          <t>Portugal</t>
        </is>
      </c>
    </row>
    <row r="28">
      <c r="A28" s="10" t="inlineStr">
        <is>
          <t>S200</t>
        </is>
      </c>
      <c r="B28" s="11" t="inlineStr">
        <is>
          <t>Union Bancaire Privée (UBP)</t>
        </is>
      </c>
      <c r="C28" s="10" t="inlineStr">
        <is>
          <t>Private bank (private)</t>
        </is>
      </c>
      <c r="D28" s="10" t="inlineStr">
        <is>
          <t>CH, BR</t>
        </is>
      </c>
      <c r="E28" s="12" t="inlineStr">
        <is>
          <t>A</t>
        </is>
      </c>
      <c r="F28" s="10" t="inlineStr">
        <is>
          <t>L</t>
        </is>
      </c>
      <c r="G28" s="13" t="inlineStr">
        <is>
          <t>https://www.bloombergquint.com/onweb/rich-brazilians-moving-to-portugal-pull-local-bankers-with-them</t>
        </is>
      </c>
      <c r="H28" s="10" t="inlineStr">
        <is>
          <t>Wealth Partner tier (D33): Lisbon office for wealthy clients moving to Portugal; bought Millennium Banque Privée (Geneva) (prompt 15)</t>
        </is>
      </c>
      <c r="I28" s="10" t="n">
        <v>2024</v>
      </c>
      <c r="J28" s="10" t="inlineStr">
        <is>
          <t>Search result</t>
        </is>
      </c>
      <c r="K28" s="10" t="inlineStr">
        <is>
          <t>Head of international or Portugal desk</t>
        </is>
      </c>
      <c r="L28" s="10" t="inlineStr">
        <is>
          <t>LinkedIn (named role), then company email</t>
        </is>
      </c>
      <c r="M28" s="10" t="inlineStr">
        <is>
          <t>Wealth Partner</t>
        </is>
      </c>
      <c r="N28" s="14">
        <f>INDEX(Settings!$B$4:$B$15,MATCH(M28,Settings!$A$4:$A$15,0))</f>
        <v/>
      </c>
      <c r="O28" s="15">
        <f>IF(E28="A",IF(I28&gt;=2022,Settings!$B$18,Settings!$B$19),IF(E28="B",Settings!$B$20,Settings!$B$21))+IF(F28="S",Settings!$B$22,0)</f>
        <v/>
      </c>
      <c r="P28" s="14">
        <f>N28*O28</f>
        <v/>
      </c>
      <c r="Q28" s="16">
        <f>P28*INDEX(Settings!$B$25:$B$27,MATCH(F28,Settings!$A$25:$A$27,0))</f>
        <v/>
      </c>
      <c r="R28" s="10" t="inlineStr">
        <is>
          <t>To contact</t>
        </is>
      </c>
      <c r="S28" s="10" t="inlineStr">
        <is>
          <t>Touch 1 (sponsors/outreach/v3)</t>
        </is>
      </c>
      <c r="T28" s="10" t="inlineStr">
        <is>
          <t>2026-11-09</t>
        </is>
      </c>
      <c r="U28" s="10" t="inlineStr">
        <is>
          <t>Partner</t>
        </is>
      </c>
      <c r="V28" s="10" t="inlineStr">
        <is>
          <t>Switzerland</t>
        </is>
      </c>
    </row>
    <row r="29">
      <c r="A29" s="10" t="inlineStr">
        <is>
          <t>S201</t>
        </is>
      </c>
      <c r="B29" s="11" t="inlineStr">
        <is>
          <t>VdA Vieira de Almeida</t>
        </is>
      </c>
      <c r="C29" s="10" t="inlineStr">
        <is>
          <t>Law firm, private clients (private)</t>
        </is>
      </c>
      <c r="D29" s="10" t="inlineStr">
        <is>
          <t>LU, FR, CH, BR, US, IL</t>
        </is>
      </c>
      <c r="E29" s="12" t="inlineStr">
        <is>
          <t>A</t>
        </is>
      </c>
      <c r="F29" s="10" t="inlineStr">
        <is>
          <t>L</t>
        </is>
      </c>
      <c r="G29" s="13" t="inlineStr">
        <is>
          <t>https://chambers.com/department/vda-vieira-de-almeida-private-wealth-law-high-net-worth-21:2633:174:1:3970</t>
        </is>
      </c>
      <c r="H29" s="10" t="inlineStr">
        <is>
          <t>Wealth Partner tier (D33): Ranked private wealth practice advising international family offices, private banks and UHNW individuals (prompt 15)</t>
        </is>
      </c>
      <c r="I29" s="10" t="n">
        <v>2026</v>
      </c>
      <c r="J29" s="10" t="inlineStr">
        <is>
          <t>Search result</t>
        </is>
      </c>
      <c r="K29" s="10" t="inlineStr">
        <is>
          <t>Partner, private clients</t>
        </is>
      </c>
      <c r="L29" s="10" t="inlineStr">
        <is>
          <t>LinkedIn (named role), then company email</t>
        </is>
      </c>
      <c r="M29" s="10" t="inlineStr">
        <is>
          <t>Wealth Partner</t>
        </is>
      </c>
      <c r="N29" s="14">
        <f>INDEX(Settings!$B$4:$B$15,MATCH(M29,Settings!$A$4:$A$15,0))</f>
        <v/>
      </c>
      <c r="O29" s="15">
        <f>IF(E29="A",IF(I29&gt;=2022,Settings!$B$18,Settings!$B$19),IF(E29="B",Settings!$B$20,Settings!$B$21))+IF(F29="S",Settings!$B$22,0)</f>
        <v/>
      </c>
      <c r="P29" s="14">
        <f>N29*O29</f>
        <v/>
      </c>
      <c r="Q29" s="16">
        <f>P29*INDEX(Settings!$B$25:$B$27,MATCH(F29,Settings!$A$25:$A$27,0))</f>
        <v/>
      </c>
      <c r="R29" s="10" t="inlineStr">
        <is>
          <t>To contact</t>
        </is>
      </c>
      <c r="S29" s="10" t="inlineStr">
        <is>
          <t>Touch 1 (sponsors/outreach/v3)</t>
        </is>
      </c>
      <c r="T29" s="10" t="inlineStr">
        <is>
          <t>2026-11-09</t>
        </is>
      </c>
      <c r="U29" s="10" t="inlineStr">
        <is>
          <t>Partner</t>
        </is>
      </c>
      <c r="V29" s="10" t="inlineStr">
        <is>
          <t>Portugal</t>
        </is>
      </c>
    </row>
    <row r="30">
      <c r="A30" s="10" t="inlineStr">
        <is>
          <t>S169</t>
        </is>
      </c>
      <c r="B30" s="11" t="inlineStr">
        <is>
          <t>Andersen Portugal</t>
        </is>
      </c>
      <c r="C30" s="10" t="inlineStr">
        <is>
          <t>Estruturação</t>
        </is>
      </c>
      <c r="D30" s="10" t="inlineStr">
        <is>
          <t>Todos os países · advogados em Portugal</t>
        </is>
      </c>
      <c r="E30" s="12" t="inlineStr">
        <is>
          <t>A</t>
        </is>
      </c>
      <c r="F30" s="10" t="inlineStr">
        <is>
          <t>L</t>
        </is>
      </c>
      <c r="G30" s="13" t="inlineStr">
        <is>
          <t>https://chambers.com/department/andersen-private-wealth-law-high-net-worth-21:2633:174:1:22620317</t>
        </is>
      </c>
      <c r="H30" s="10" t="inlineStr">
        <is>
          <t>Ranked in private wealth law.</t>
        </is>
      </c>
      <c r="I30" s="10" t="n">
        <v>2026</v>
      </c>
      <c r="J30" s="10" t="inlineStr">
        <is>
          <t>Search result, not opened</t>
        </is>
      </c>
      <c r="K30" s="10" t="inlineStr">
        <is>
          <t>Private client</t>
        </is>
      </c>
      <c r="L30" s="10" t="inlineStr">
        <is>
          <t>Website: pt.andersen.com</t>
        </is>
      </c>
      <c r="M30" s="10" t="inlineStr">
        <is>
          <t>Journey checkpoint</t>
        </is>
      </c>
      <c r="N30" s="14">
        <f>INDEX(Settings!$B$4:$B$15,MATCH(M30,Settings!$A$4:$A$15,0))</f>
        <v/>
      </c>
      <c r="O30" s="15">
        <f>IF(E30="A",IF(I30&gt;=2022,Settings!$B$18,Settings!$B$19),IF(E30="B",Settings!$B$20,Settings!$B$21))+IF(F30="S",Settings!$B$22,0)</f>
        <v/>
      </c>
      <c r="P30" s="14">
        <f>N30*O30</f>
        <v/>
      </c>
      <c r="Q30" s="16">
        <f>P30*INDEX(Settings!$B$25:$B$27,MATCH(F30,Settings!$A$25:$A$27,0))</f>
        <v/>
      </c>
      <c r="R30" s="10" t="inlineStr">
        <is>
          <t>Not contacted</t>
        </is>
      </c>
      <c r="S30" s="10" t="inlineStr">
        <is>
          <t>Approach with brochure (D40)</t>
        </is>
      </c>
      <c r="T30" s="10" t="inlineStr"/>
      <c r="U30" s="10" t="inlineStr">
        <is>
          <t>Partner</t>
        </is>
      </c>
      <c r="V30" s="10" t="inlineStr">
        <is>
          <t>not assessed</t>
        </is>
      </c>
    </row>
    <row r="31">
      <c r="A31" s="10" t="inlineStr">
        <is>
          <t>S166</t>
        </is>
      </c>
      <c r="B31" s="11" t="inlineStr">
        <is>
          <t>BTG Pactual</t>
        </is>
      </c>
      <c r="C31" s="10" t="inlineStr">
        <is>
          <t>Estruturação (×1.5)</t>
        </is>
      </c>
      <c r="D31" s="10" t="inlineStr">
        <is>
          <t>Brasil</t>
        </is>
      </c>
      <c r="E31" s="12" t="inlineStr">
        <is>
          <t>A</t>
        </is>
      </c>
      <c r="F31" s="10" t="inlineStr">
        <is>
          <t>L</t>
        </is>
      </c>
      <c r="G31" s="13" t="inlineStr">
        <is>
          <t>https://www.essential-business.pt/2019/12/08/btg-pactual-enters-portuguese-banking-market/</t>
        </is>
      </c>
      <c r="H31" s="10" t="inlineStr">
        <is>
          <t>Entered Portuguese banking; expanding European real estate.</t>
        </is>
      </c>
      <c r="I31" s="10" t="n">
        <v>2026</v>
      </c>
      <c r="J31" s="10" t="inlineStr">
        <is>
          <t>Search result, not opened</t>
        </is>
      </c>
      <c r="K31" s="10" t="inlineStr">
        <is>
          <t>Wealth / Europa</t>
        </is>
      </c>
      <c r="L31" s="10" t="inlineStr">
        <is>
          <t>Website: btgpactual.com</t>
        </is>
      </c>
      <c r="M31" s="10" t="inlineStr">
        <is>
          <t>Journey checkpoint</t>
        </is>
      </c>
      <c r="N31" s="14">
        <f>INDEX(Settings!$B$4:$B$15,MATCH(M31,Settings!$A$4:$A$15,0))</f>
        <v/>
      </c>
      <c r="O31" s="15">
        <f>IF(E31="A",IF(I31&gt;=2022,Settings!$B$18,Settings!$B$19),IF(E31="B",Settings!$B$20,Settings!$B$21))+IF(F31="S",Settings!$B$22,0)</f>
        <v/>
      </c>
      <c r="P31" s="14">
        <f>N31*O31</f>
        <v/>
      </c>
      <c r="Q31" s="16">
        <f>P31*INDEX(Settings!$B$25:$B$27,MATCH(F31,Settings!$A$25:$A$27,0))</f>
        <v/>
      </c>
      <c r="R31" s="10" t="inlineStr">
        <is>
          <t>Not contacted</t>
        </is>
      </c>
      <c r="S31" s="10" t="inlineStr">
        <is>
          <t>Approach with brochure (D40)</t>
        </is>
      </c>
      <c r="T31" s="10" t="inlineStr"/>
      <c r="U31" s="10" t="inlineStr">
        <is>
          <t>Partner</t>
        </is>
      </c>
      <c r="V31" s="10" t="inlineStr">
        <is>
          <t>not assessed</t>
        </is>
      </c>
    </row>
    <row r="32">
      <c r="A32" s="10" t="inlineStr">
        <is>
          <t>S168</t>
        </is>
      </c>
      <c r="B32" s="11" t="inlineStr">
        <is>
          <t>CMS Portugal</t>
        </is>
      </c>
      <c r="C32" s="10" t="inlineStr">
        <is>
          <t>Estruturação</t>
        </is>
      </c>
      <c r="D32" s="10" t="inlineStr">
        <is>
          <t>Todos os países · advogados em Portugal</t>
        </is>
      </c>
      <c r="E32" s="12" t="inlineStr">
        <is>
          <t>A</t>
        </is>
      </c>
      <c r="F32" s="10" t="inlineStr">
        <is>
          <t>L</t>
        </is>
      </c>
      <c r="G32" s="13" t="inlineStr">
        <is>
          <t>https://cms.law/en/prt/news-information/cms-portugal-and-nuno-figueiroa-santos-highlighted-in-the-chambers-and-partners-high-net-worth-guide</t>
        </is>
      </c>
      <c r="H32" s="10" t="inlineStr">
        <is>
          <t>Highlighted in Chambers High Net Worth.</t>
        </is>
      </c>
      <c r="I32" s="10" t="n">
        <v>2026</v>
      </c>
      <c r="J32" s="10" t="inlineStr">
        <is>
          <t>Search result, not opened</t>
        </is>
      </c>
      <c r="K32" s="10" t="inlineStr">
        <is>
          <t>Private client</t>
        </is>
      </c>
      <c r="L32" s="10" t="inlineStr">
        <is>
          <t>Website: cms.law</t>
        </is>
      </c>
      <c r="M32" s="10" t="inlineStr">
        <is>
          <t>Journey checkpoint</t>
        </is>
      </c>
      <c r="N32" s="14">
        <f>INDEX(Settings!$B$4:$B$15,MATCH(M32,Settings!$A$4:$A$15,0))</f>
        <v/>
      </c>
      <c r="O32" s="15">
        <f>IF(E32="A",IF(I32&gt;=2022,Settings!$B$18,Settings!$B$19),IF(E32="B",Settings!$B$20,Settings!$B$21))+IF(F32="S",Settings!$B$22,0)</f>
        <v/>
      </c>
      <c r="P32" s="14">
        <f>N32*O32</f>
        <v/>
      </c>
      <c r="Q32" s="16">
        <f>P32*INDEX(Settings!$B$25:$B$27,MATCH(F32,Settings!$A$25:$A$27,0))</f>
        <v/>
      </c>
      <c r="R32" s="10" t="inlineStr">
        <is>
          <t>Not contacted</t>
        </is>
      </c>
      <c r="S32" s="10" t="inlineStr">
        <is>
          <t>Approach with brochure (D40)</t>
        </is>
      </c>
      <c r="T32" s="10" t="inlineStr"/>
      <c r="U32" s="10" t="inlineStr">
        <is>
          <t>Partner</t>
        </is>
      </c>
      <c r="V32" s="10" t="inlineStr">
        <is>
          <t>not assessed</t>
        </is>
      </c>
    </row>
    <row r="33">
      <c r="A33" s="10" t="inlineStr">
        <is>
          <t>S173</t>
        </is>
      </c>
      <c r="B33" s="11" t="inlineStr">
        <is>
          <t>Cleerly</t>
        </is>
      </c>
      <c r="C33" s="10" t="inlineStr">
        <is>
          <t>Reforma em Portugal</t>
        </is>
      </c>
      <c r="D33" s="10" t="inlineStr">
        <is>
          <t>França</t>
        </is>
      </c>
      <c r="E33" s="12" t="inlineStr">
        <is>
          <t>A</t>
        </is>
      </c>
      <c r="F33" s="10" t="inlineStr">
        <is>
          <t>L</t>
        </is>
      </c>
      <c r="G33" s="13" t="inlineStr">
        <is>
          <t>https://cleerly.fr/retraite/portugal</t>
        </is>
      </c>
      <c r="H33" s="10" t="inlineStr">
        <is>
          <t>Wealth-management firm publishing guides on retiring to Portugal.</t>
        </is>
      </c>
      <c r="I33" s="10" t="n">
        <v>2026</v>
      </c>
      <c r="J33" s="10" t="inlineStr">
        <is>
          <t>Opened</t>
        </is>
      </c>
      <c r="K33" s="10" t="inlineStr">
        <is>
          <t>Marketing</t>
        </is>
      </c>
      <c r="L33" s="10" t="inlineStr">
        <is>
          <t>Website: cleerly.fr</t>
        </is>
      </c>
      <c r="M33" s="10" t="inlineStr">
        <is>
          <t>Journey checkpoint</t>
        </is>
      </c>
      <c r="N33" s="14">
        <f>INDEX(Settings!$B$4:$B$15,MATCH(M33,Settings!$A$4:$A$15,0))</f>
        <v/>
      </c>
      <c r="O33" s="15">
        <f>IF(E33="A",IF(I33&gt;=2022,Settings!$B$18,Settings!$B$19),IF(E33="B",Settings!$B$20,Settings!$B$21))+IF(F33="S",Settings!$B$22,0)</f>
        <v/>
      </c>
      <c r="P33" s="14">
        <f>N33*O33</f>
        <v/>
      </c>
      <c r="Q33" s="16">
        <f>P33*INDEX(Settings!$B$25:$B$27,MATCH(F33,Settings!$A$25:$A$27,0))</f>
        <v/>
      </c>
      <c r="R33" s="10" t="inlineStr">
        <is>
          <t>Not contacted</t>
        </is>
      </c>
      <c r="S33" s="10" t="inlineStr">
        <is>
          <t>Approach with brochure (D40)</t>
        </is>
      </c>
      <c r="T33" s="10" t="inlineStr"/>
      <c r="U33" s="10" t="inlineStr">
        <is>
          <t>Partner</t>
        </is>
      </c>
      <c r="V33" s="10" t="inlineStr">
        <is>
          <t>not assessed</t>
        </is>
      </c>
    </row>
    <row r="34">
      <c r="A34" s="10" t="inlineStr">
        <is>
          <t>S171</t>
        </is>
      </c>
      <c r="B34" s="11" t="inlineStr">
        <is>
          <t>Compassurance</t>
        </is>
      </c>
      <c r="C34" s="10" t="inlineStr">
        <is>
          <t>2.º pilar ao sair da Suíça</t>
        </is>
      </c>
      <c r="D34" s="10" t="inlineStr">
        <is>
          <t>Suíça</t>
        </is>
      </c>
      <c r="E34" s="12" t="inlineStr">
        <is>
          <t>A</t>
        </is>
      </c>
      <c r="F34" s="10" t="inlineStr">
        <is>
          <t>L</t>
        </is>
      </c>
      <c r="G34" s="13" t="inlineStr">
        <is>
          <t>https://compassurance.ch/retirer-2eme-pilier-quitter-suisse/</t>
        </is>
      </c>
      <c r="H34" s="10" t="inlineStr">
        <is>
          <t>Free expert audit of the 2nd pillar before leaving Switzerland: amount, net tax, canton strategy.</t>
        </is>
      </c>
      <c r="I34" s="10" t="n">
        <v>2026</v>
      </c>
      <c r="J34" s="10" t="inlineStr">
        <is>
          <t>Opened</t>
        </is>
      </c>
      <c r="K34" s="10" t="inlineStr">
        <is>
          <t>Expert team</t>
        </is>
      </c>
      <c r="L34" s="10" t="inlineStr">
        <is>
          <t>Website: compassurance.ch</t>
        </is>
      </c>
      <c r="M34" s="10" t="inlineStr">
        <is>
          <t>Journey checkpoint</t>
        </is>
      </c>
      <c r="N34" s="14">
        <f>INDEX(Settings!$B$4:$B$15,MATCH(M34,Settings!$A$4:$A$15,0))</f>
        <v/>
      </c>
      <c r="O34" s="15">
        <f>IF(E34="A",IF(I34&gt;=2022,Settings!$B$18,Settings!$B$19),IF(E34="B",Settings!$B$20,Settings!$B$21))+IF(F34="S",Settings!$B$22,0)</f>
        <v/>
      </c>
      <c r="P34" s="14">
        <f>N34*O34</f>
        <v/>
      </c>
      <c r="Q34" s="16">
        <f>P34*INDEX(Settings!$B$25:$B$27,MATCH(F34,Settings!$A$25:$A$27,0))</f>
        <v/>
      </c>
      <c r="R34" s="10" t="inlineStr">
        <is>
          <t>Not contacted</t>
        </is>
      </c>
      <c r="S34" s="10" t="inlineStr">
        <is>
          <t>Approach with brochure (D40)</t>
        </is>
      </c>
      <c r="T34" s="10" t="inlineStr"/>
      <c r="U34" s="10" t="inlineStr">
        <is>
          <t>Partner</t>
        </is>
      </c>
      <c r="V34" s="10" t="inlineStr">
        <is>
          <t>not assessed</t>
        </is>
      </c>
    </row>
    <row r="35">
      <c r="A35" s="10" t="inlineStr">
        <is>
          <t>S175</t>
        </is>
      </c>
      <c r="B35" s="11" t="inlineStr">
        <is>
          <t>Creative Planning International</t>
        </is>
      </c>
      <c r="C35" s="10" t="inlineStr">
        <is>
          <t>Estruturação (×1.5)</t>
        </is>
      </c>
      <c r="D35" s="10" t="inlineStr">
        <is>
          <t>EUA</t>
        </is>
      </c>
      <c r="E35" s="12" t="inlineStr">
        <is>
          <t>A</t>
        </is>
      </c>
      <c r="F35" s="10" t="inlineStr">
        <is>
          <t>L</t>
        </is>
      </c>
      <c r="G35" s="13" t="inlineStr">
        <is>
          <t>https://creativeplanning.com/international/insights/financial-planning/9-critical-financial-planning-considerations-for-american-expats-living-in-portugal/</t>
        </is>
      </c>
      <c r="H35" s="10" t="inlineStr">
        <is>
          <t>US expat wealth services covering Portugal (households with US$500k+ in US assets).</t>
        </is>
      </c>
      <c r="I35" s="10" t="n">
        <v>2026</v>
      </c>
      <c r="J35" s="10" t="inlineStr">
        <is>
          <t>Opened</t>
        </is>
      </c>
      <c r="K35" s="10" t="inlineStr">
        <is>
          <t>International team</t>
        </is>
      </c>
      <c r="L35" s="10" t="inlineStr">
        <is>
          <t>Website: creativeplanning.com</t>
        </is>
      </c>
      <c r="M35" s="10" t="inlineStr">
        <is>
          <t>Journey checkpoint</t>
        </is>
      </c>
      <c r="N35" s="14">
        <f>INDEX(Settings!$B$4:$B$15,MATCH(M35,Settings!$A$4:$A$15,0))</f>
        <v/>
      </c>
      <c r="O35" s="15">
        <f>IF(E35="A",IF(I35&gt;=2022,Settings!$B$18,Settings!$B$19),IF(E35="B",Settings!$B$20,Settings!$B$21))+IF(F35="S",Settings!$B$22,0)</f>
        <v/>
      </c>
      <c r="P35" s="14">
        <f>N35*O35</f>
        <v/>
      </c>
      <c r="Q35" s="16">
        <f>P35*INDEX(Settings!$B$25:$B$27,MATCH(F35,Settings!$A$25:$A$27,0))</f>
        <v/>
      </c>
      <c r="R35" s="10" t="inlineStr">
        <is>
          <t>Not contacted</t>
        </is>
      </c>
      <c r="S35" s="10" t="inlineStr">
        <is>
          <t>Approach with brochure (D40)</t>
        </is>
      </c>
      <c r="T35" s="10" t="inlineStr"/>
      <c r="U35" s="10" t="inlineStr">
        <is>
          <t>Partner</t>
        </is>
      </c>
      <c r="V35" s="10" t="inlineStr">
        <is>
          <t>not assessed</t>
        </is>
      </c>
    </row>
    <row r="36">
      <c r="A36" s="10" t="inlineStr">
        <is>
          <t>S167</t>
        </is>
      </c>
      <c r="B36" s="11" t="inlineStr">
        <is>
          <t>Deloitte Legal | Telles</t>
        </is>
      </c>
      <c r="C36" s="10" t="inlineStr">
        <is>
          <t>Estruturação</t>
        </is>
      </c>
      <c r="D36" s="10" t="inlineStr">
        <is>
          <t>Todos os países · advogados em Portugal</t>
        </is>
      </c>
      <c r="E36" s="12" t="inlineStr">
        <is>
          <t>A</t>
        </is>
      </c>
      <c r="F36" s="10" t="inlineStr">
        <is>
          <t>L</t>
        </is>
      </c>
      <c r="G36" s="13" t="inlineStr">
        <is>
          <t>https://www.deloitte.com/pt/pt/services/legal/blogs/news/deloitte-legal-telles-band-1-private-wealth-law.html</t>
        </is>
      </c>
      <c r="H36" s="10" t="inlineStr">
        <is>
          <t>Band 1 in private wealth law.</t>
        </is>
      </c>
      <c r="I36" s="10" t="n">
        <v>2026</v>
      </c>
      <c r="J36" s="10" t="inlineStr">
        <is>
          <t>Search result, not opened</t>
        </is>
      </c>
      <c r="K36" s="10" t="inlineStr">
        <is>
          <t>Private wealth</t>
        </is>
      </c>
      <c r="L36" s="10" t="inlineStr">
        <is>
          <t>Website: deloitte.com/pt</t>
        </is>
      </c>
      <c r="M36" s="10" t="inlineStr">
        <is>
          <t>Journey checkpoint</t>
        </is>
      </c>
      <c r="N36" s="14">
        <f>INDEX(Settings!$B$4:$B$15,MATCH(M36,Settings!$A$4:$A$15,0))</f>
        <v/>
      </c>
      <c r="O36" s="15">
        <f>IF(E36="A",IF(I36&gt;=2022,Settings!$B$18,Settings!$B$19),IF(E36="B",Settings!$B$20,Settings!$B$21))+IF(F36="S",Settings!$B$22,0)</f>
        <v/>
      </c>
      <c r="P36" s="14">
        <f>N36*O36</f>
        <v/>
      </c>
      <c r="Q36" s="16">
        <f>P36*INDEX(Settings!$B$25:$B$27,MATCH(F36,Settings!$A$25:$A$27,0))</f>
        <v/>
      </c>
      <c r="R36" s="10" t="inlineStr">
        <is>
          <t>Not contacted</t>
        </is>
      </c>
      <c r="S36" s="10" t="inlineStr">
        <is>
          <t>Approach with brochure (D40)</t>
        </is>
      </c>
      <c r="T36" s="10" t="inlineStr"/>
      <c r="U36" s="10" t="inlineStr">
        <is>
          <t>Partner</t>
        </is>
      </c>
      <c r="V36" s="10" t="inlineStr">
        <is>
          <t>not assessed</t>
        </is>
      </c>
    </row>
    <row r="37">
      <c r="A37" s="10" t="inlineStr">
        <is>
          <t>S174</t>
        </is>
      </c>
      <c r="B37" s="11" t="inlineStr">
        <is>
          <t>FRESH Legal</t>
        </is>
      </c>
      <c r="C37" s="10" t="inlineStr">
        <is>
          <t>Impostos nos EUA e em Portugal</t>
        </is>
      </c>
      <c r="D37" s="10" t="inlineStr">
        <is>
          <t>EUA</t>
        </is>
      </c>
      <c r="E37" s="12" t="inlineStr">
        <is>
          <t>A</t>
        </is>
      </c>
      <c r="F37" s="10" t="inlineStr">
        <is>
          <t>L</t>
        </is>
      </c>
      <c r="G37" s="13" t="inlineStr">
        <is>
          <t>https://fresh-legal.com/us</t>
        </is>
      </c>
      <c r="H37" s="10" t="inlineStr">
        <is>
          <t>Cross-border US tax planning and filing; Lisbon office and Portuguese legal practice.</t>
        </is>
      </c>
      <c r="I37" s="10" t="n">
        <v>2026</v>
      </c>
      <c r="J37" s="10" t="inlineStr">
        <is>
          <t>Opened</t>
        </is>
      </c>
      <c r="K37" s="10" t="inlineStr">
        <is>
          <t>Partners</t>
        </is>
      </c>
      <c r="L37" s="10" t="inlineStr">
        <is>
          <t>Website: fresh-legal.com</t>
        </is>
      </c>
      <c r="M37" s="10" t="inlineStr">
        <is>
          <t>Journey checkpoint</t>
        </is>
      </c>
      <c r="N37" s="14">
        <f>INDEX(Settings!$B$4:$B$15,MATCH(M37,Settings!$A$4:$A$15,0))</f>
        <v/>
      </c>
      <c r="O37" s="15">
        <f>IF(E37="A",IF(I37&gt;=2022,Settings!$B$18,Settings!$B$19),IF(E37="B",Settings!$B$20,Settings!$B$21))+IF(F37="S",Settings!$B$22,0)</f>
        <v/>
      </c>
      <c r="P37" s="14">
        <f>N37*O37</f>
        <v/>
      </c>
      <c r="Q37" s="16">
        <f>P37*INDEX(Settings!$B$25:$B$27,MATCH(F37,Settings!$A$25:$A$27,0))</f>
        <v/>
      </c>
      <c r="R37" s="10" t="inlineStr">
        <is>
          <t>Not contacted</t>
        </is>
      </c>
      <c r="S37" s="10" t="inlineStr">
        <is>
          <t>Approach with brochure (D40)</t>
        </is>
      </c>
      <c r="T37" s="10" t="inlineStr"/>
      <c r="U37" s="10" t="inlineStr">
        <is>
          <t>Partner</t>
        </is>
      </c>
      <c r="V37" s="10" t="inlineStr">
        <is>
          <t>not assessed</t>
        </is>
      </c>
    </row>
    <row r="38">
      <c r="A38" s="10" t="inlineStr">
        <is>
          <t>S172</t>
        </is>
      </c>
      <c r="B38" s="11" t="inlineStr">
        <is>
          <t>Hagnéré Patrimoine</t>
        </is>
      </c>
      <c r="C38" s="10" t="inlineStr">
        <is>
          <t>Estruturação (×1.5)</t>
        </is>
      </c>
      <c r="D38" s="10" t="inlineStr">
        <is>
          <t>França</t>
        </is>
      </c>
      <c r="E38" s="12" t="inlineStr">
        <is>
          <t>A</t>
        </is>
      </c>
      <c r="F38" s="10" t="inlineStr">
        <is>
          <t>L</t>
        </is>
      </c>
      <c r="G38" s="13" t="inlineStr">
        <is>
          <t>https://www.hagnere-patrimoine.fr/gestion-de-patrimoine-expatrie-portugal</t>
        </is>
      </c>
      <c r="H38" s="10" t="inlineStr">
        <is>
          <t>Wealth adviser for French expatriates in Portugal: Franco-Portuguese tax, works with licensed Portuguese professionals.</t>
        </is>
      </c>
      <c r="I38" s="10" t="n">
        <v>2026</v>
      </c>
      <c r="J38" s="10" t="inlineStr">
        <is>
          <t>Opened</t>
        </is>
      </c>
      <c r="K38" s="10" t="inlineStr">
        <is>
          <t>Founding partner</t>
        </is>
      </c>
      <c r="L38" s="10" t="inlineStr">
        <is>
          <t>Website: hagnere-patrimoine.fr</t>
        </is>
      </c>
      <c r="M38" s="10" t="inlineStr">
        <is>
          <t>Journey checkpoint</t>
        </is>
      </c>
      <c r="N38" s="14">
        <f>INDEX(Settings!$B$4:$B$15,MATCH(M38,Settings!$A$4:$A$15,0))</f>
        <v/>
      </c>
      <c r="O38" s="15">
        <f>IF(E38="A",IF(I38&gt;=2022,Settings!$B$18,Settings!$B$19),IF(E38="B",Settings!$B$20,Settings!$B$21))+IF(F38="S",Settings!$B$22,0)</f>
        <v/>
      </c>
      <c r="P38" s="14">
        <f>N38*O38</f>
        <v/>
      </c>
      <c r="Q38" s="16">
        <f>P38*INDEX(Settings!$B$25:$B$27,MATCH(F38,Settings!$A$25:$A$27,0))</f>
        <v/>
      </c>
      <c r="R38" s="10" t="inlineStr">
        <is>
          <t>Not contacted</t>
        </is>
      </c>
      <c r="S38" s="10" t="inlineStr">
        <is>
          <t>Approach with brochure (D40)</t>
        </is>
      </c>
      <c r="T38" s="10" t="inlineStr"/>
      <c r="U38" s="10" t="inlineStr">
        <is>
          <t>Partner</t>
        </is>
      </c>
      <c r="V38" s="10" t="inlineStr">
        <is>
          <t>not assessed</t>
        </is>
      </c>
    </row>
    <row r="39">
      <c r="A39" s="10" t="inlineStr">
        <is>
          <t>S165</t>
        </is>
      </c>
      <c r="B39" s="11" t="inlineStr">
        <is>
          <t>Julius Baer</t>
        </is>
      </c>
      <c r="C39" s="10" t="inlineStr">
        <is>
          <t>Estruturação (×1.5)</t>
        </is>
      </c>
      <c r="D39" s="10" t="inlineStr">
        <is>
          <t>Suíça</t>
        </is>
      </c>
      <c r="E39" s="12" t="inlineStr">
        <is>
          <t>A</t>
        </is>
      </c>
      <c r="F39" s="10" t="inlineStr">
        <is>
          <t>L</t>
        </is>
      </c>
      <c r="G39" s="13" t="inlineStr">
        <is>
          <t>https://www.essential-business.pt/2025/03/27/swiss-wealth-management-and-investment-bank-julius-baer-to-open-lisbon-office/</t>
        </is>
      </c>
      <c r="H39" s="10" t="inlineStr">
        <is>
          <t>Opened a Lisbon office in 2025 for Portugal-linked wealth clients.</t>
        </is>
      </c>
      <c r="I39" s="10" t="n">
        <v>2026</v>
      </c>
      <c r="J39" s="10" t="inlineStr">
        <is>
          <t>Search result, not opened</t>
        </is>
      </c>
      <c r="K39" s="10" t="inlineStr">
        <is>
          <t>Head of Portugal desk</t>
        </is>
      </c>
      <c r="L39" s="10" t="inlineStr">
        <is>
          <t>Website: juliusbaer.com</t>
        </is>
      </c>
      <c r="M39" s="10" t="inlineStr">
        <is>
          <t>Journey checkpoint</t>
        </is>
      </c>
      <c r="N39" s="14">
        <f>INDEX(Settings!$B$4:$B$15,MATCH(M39,Settings!$A$4:$A$15,0))</f>
        <v/>
      </c>
      <c r="O39" s="15">
        <f>IF(E39="A",IF(I39&gt;=2022,Settings!$B$18,Settings!$B$19),IF(E39="B",Settings!$B$20,Settings!$B$21))+IF(F39="S",Settings!$B$22,0)</f>
        <v/>
      </c>
      <c r="P39" s="14">
        <f>N39*O39</f>
        <v/>
      </c>
      <c r="Q39" s="16">
        <f>P39*INDEX(Settings!$B$25:$B$27,MATCH(F39,Settings!$A$25:$A$27,0))</f>
        <v/>
      </c>
      <c r="R39" s="10" t="inlineStr">
        <is>
          <t>Not contacted</t>
        </is>
      </c>
      <c r="S39" s="10" t="inlineStr">
        <is>
          <t>Approach with brochure (D40)</t>
        </is>
      </c>
      <c r="T39" s="10" t="inlineStr"/>
      <c r="U39" s="10" t="inlineStr">
        <is>
          <t>Partner</t>
        </is>
      </c>
      <c r="V39" s="10" t="inlineStr">
        <is>
          <t>not assessed</t>
        </is>
      </c>
    </row>
    <row r="40">
      <c r="A40" s="10" t="inlineStr">
        <is>
          <t>S161</t>
        </is>
      </c>
      <c r="B40" s="11" t="inlineStr">
        <is>
          <t>Krest</t>
        </is>
      </c>
      <c r="C40" s="10" t="inlineStr">
        <is>
          <t>Developer (Lisboa (Marvila))</t>
        </is>
      </c>
      <c r="D40" s="10" t="inlineStr">
        <is>
          <t>LU, FR, CH, BR, US, IL</t>
        </is>
      </c>
      <c r="E40" s="12" t="inlineStr">
        <is>
          <t>A</t>
        </is>
      </c>
      <c r="F40" s="10" t="inlineStr">
        <is>
          <t>L</t>
        </is>
      </c>
      <c r="G40" s="13" t="inlineStr">
        <is>
          <t>https://www.essential-business.pt/2025/11/21/krest-unveils-formoso-marvila-residential-development-in-lisbon/</t>
        </is>
      </c>
      <c r="H40" s="10" t="inlineStr">
        <is>
          <t>Formoso Marvila residential development unveiled in late 2025.</t>
        </is>
      </c>
      <c r="I40" s="10" t="n">
        <v>2026</v>
      </c>
      <c r="J40" s="10" t="inlineStr">
        <is>
          <t>Search result, not opened</t>
        </is>
      </c>
      <c r="K40" s="10" t="inlineStr">
        <is>
          <t>Marketing e vendas</t>
        </is>
      </c>
      <c r="L40" s="10" t="inlineStr">
        <is>
          <t>Website contact / LinkedIn</t>
        </is>
      </c>
      <c r="M40" s="10" t="inlineStr">
        <is>
          <t>Area placement (Strong)</t>
        </is>
      </c>
      <c r="N40" s="14">
        <f>INDEX(Settings!$B$4:$B$15,MATCH(M40,Settings!$A$4:$A$15,0))</f>
        <v/>
      </c>
      <c r="O40" s="15">
        <f>IF(E40="A",IF(I40&gt;=2022,Settings!$B$18,Settings!$B$19),IF(E40="B",Settings!$B$20,Settings!$B$21))+IF(F40="S",Settings!$B$22,0)</f>
        <v/>
      </c>
      <c r="P40" s="14">
        <f>N40*O40</f>
        <v/>
      </c>
      <c r="Q40" s="16">
        <f>P40*INDEX(Settings!$B$25:$B$27,MATCH(F40,Settings!$A$25:$A$27,0))</f>
        <v/>
      </c>
      <c r="R40" s="10" t="inlineStr">
        <is>
          <t>Not contacted</t>
        </is>
      </c>
      <c r="S40" s="10" t="inlineStr">
        <is>
          <t>Approach with brochure (D40)</t>
        </is>
      </c>
      <c r="T40" s="10" t="inlineStr"/>
      <c r="U40" s="10" t="inlineStr">
        <is>
          <t>Partner</t>
        </is>
      </c>
      <c r="V40" s="10" t="inlineStr">
        <is>
          <t>not assessed</t>
        </is>
      </c>
    </row>
    <row r="41">
      <c r="A41" s="10" t="inlineStr">
        <is>
          <t>S176</t>
        </is>
      </c>
      <c r="B41" s="11" t="inlineStr">
        <is>
          <t>Taxbordr</t>
        </is>
      </c>
      <c r="C41" s="10" t="inlineStr">
        <is>
          <t>Impostos em Portugal (IFICI, não residentes)</t>
        </is>
      </c>
      <c r="D41" s="10" t="inlineStr">
        <is>
          <t>Todos os países · advogados em Portugal</t>
        </is>
      </c>
      <c r="E41" s="12" t="inlineStr">
        <is>
          <t>A</t>
        </is>
      </c>
      <c r="F41" s="10" t="inlineStr">
        <is>
          <t>L</t>
        </is>
      </c>
      <c r="G41" s="13" t="inlineStr">
        <is>
          <t>https://uk.trustpilot.com/review/taxbordr.com</t>
        </is>
      </c>
      <c r="H41" s="10" t="inlineStr">
        <is>
          <t>Portuguese tax advisers for international clients, rated on Trustpilot.</t>
        </is>
      </c>
      <c r="I41" s="10" t="n">
        <v>2026</v>
      </c>
      <c r="J41" s="10" t="inlineStr">
        <is>
          <t>Opened</t>
        </is>
      </c>
      <c r="K41" s="10" t="inlineStr">
        <is>
          <t>Founders</t>
        </is>
      </c>
      <c r="L41" s="10" t="inlineStr">
        <is>
          <t>Website: taxbordr.com</t>
        </is>
      </c>
      <c r="M41" s="10" t="inlineStr">
        <is>
          <t>Journey checkpoint</t>
        </is>
      </c>
      <c r="N41" s="14">
        <f>INDEX(Settings!$B$4:$B$15,MATCH(M41,Settings!$A$4:$A$15,0))</f>
        <v/>
      </c>
      <c r="O41" s="15">
        <f>IF(E41="A",IF(I41&gt;=2022,Settings!$B$18,Settings!$B$19),IF(E41="B",Settings!$B$20,Settings!$B$21))+IF(F41="S",Settings!$B$22,0)</f>
        <v/>
      </c>
      <c r="P41" s="14">
        <f>N41*O41</f>
        <v/>
      </c>
      <c r="Q41" s="16">
        <f>P41*INDEX(Settings!$B$25:$B$27,MATCH(F41,Settings!$A$25:$A$27,0))</f>
        <v/>
      </c>
      <c r="R41" s="10" t="inlineStr">
        <is>
          <t>Not contacted</t>
        </is>
      </c>
      <c r="S41" s="10" t="inlineStr">
        <is>
          <t>Approach with brochure (D40)</t>
        </is>
      </c>
      <c r="T41" s="10" t="inlineStr"/>
      <c r="U41" s="10" t="inlineStr">
        <is>
          <t>Partner</t>
        </is>
      </c>
      <c r="V41" s="10" t="inlineStr">
        <is>
          <t>not assessed</t>
        </is>
      </c>
    </row>
    <row r="42">
      <c r="A42" s="10" t="inlineStr">
        <is>
          <t>S177</t>
        </is>
      </c>
      <c r="B42" s="11" t="inlineStr">
        <is>
          <t>The Spectrum IFA Group</t>
        </is>
      </c>
      <c r="C42" s="10" t="inlineStr">
        <is>
          <t>Património e impostos</t>
        </is>
      </c>
      <c r="D42" s="10" t="inlineStr">
        <is>
          <t>Todos os países · advogados em Portugal</t>
        </is>
      </c>
      <c r="E42" s="12" t="inlineStr">
        <is>
          <t>A</t>
        </is>
      </c>
      <c r="F42" s="10" t="inlineStr">
        <is>
          <t>L</t>
        </is>
      </c>
      <c r="G42" s="13" t="inlineStr">
        <is>
          <t>https://spectrum-ifa.com/expat-financial-advice-in-portugal/</t>
        </is>
      </c>
      <c r="H42" s="10" t="inlineStr">
        <is>
          <t>Expat financial advice in Portugal: pensions, investments and tax planning.</t>
        </is>
      </c>
      <c r="I42" s="10" t="n">
        <v>2026</v>
      </c>
      <c r="J42" s="10" t="inlineStr">
        <is>
          <t>Opened</t>
        </is>
      </c>
      <c r="K42" s="10" t="inlineStr">
        <is>
          <t>Portugal office</t>
        </is>
      </c>
      <c r="L42" s="10" t="inlineStr">
        <is>
          <t>Website: spectrum-ifa.com</t>
        </is>
      </c>
      <c r="M42" s="10" t="inlineStr">
        <is>
          <t>Journey checkpoint</t>
        </is>
      </c>
      <c r="N42" s="14">
        <f>INDEX(Settings!$B$4:$B$15,MATCH(M42,Settings!$A$4:$A$15,0))</f>
        <v/>
      </c>
      <c r="O42" s="15">
        <f>IF(E42="A",IF(I42&gt;=2022,Settings!$B$18,Settings!$B$19),IF(E42="B",Settings!$B$20,Settings!$B$21))+IF(F42="S",Settings!$B$22,0)</f>
        <v/>
      </c>
      <c r="P42" s="14">
        <f>N42*O42</f>
        <v/>
      </c>
      <c r="Q42" s="16">
        <f>P42*INDEX(Settings!$B$25:$B$27,MATCH(F42,Settings!$A$25:$A$27,0))</f>
        <v/>
      </c>
      <c r="R42" s="10" t="inlineStr">
        <is>
          <t>Not contacted</t>
        </is>
      </c>
      <c r="S42" s="10" t="inlineStr">
        <is>
          <t>Approach with brochure (D40)</t>
        </is>
      </c>
      <c r="T42" s="10" t="inlineStr"/>
      <c r="U42" s="10" t="inlineStr">
        <is>
          <t>Partner</t>
        </is>
      </c>
      <c r="V42" s="10" t="inlineStr">
        <is>
          <t>not assessed</t>
        </is>
      </c>
    </row>
    <row r="43">
      <c r="A43" s="10" t="inlineStr">
        <is>
          <t>S162</t>
        </is>
      </c>
      <c r="B43" s="11" t="inlineStr">
        <is>
          <t>Vilamoura World</t>
        </is>
      </c>
      <c r="C43" s="10" t="inlineStr">
        <is>
          <t>Developer (Algarve · Vilamoura)</t>
        </is>
      </c>
      <c r="D43" s="10" t="inlineStr">
        <is>
          <t>LU, FR, CH, BR, US, IL</t>
        </is>
      </c>
      <c r="E43" s="12" t="inlineStr">
        <is>
          <t>A</t>
        </is>
      </c>
      <c r="F43" s="10" t="inlineStr">
        <is>
          <t>L</t>
        </is>
      </c>
      <c r="G43" s="13" t="inlineStr">
        <is>
          <t>https://luxuriousmagazine.com/vilamoura-world-new-residential-projects</t>
        </is>
      </c>
      <c r="H43" s="10" t="inlineStr">
        <is>
          <t>Two new residential projects with 214 villas and apartments in Vilamoura.</t>
        </is>
      </c>
      <c r="I43" s="10" t="n">
        <v>2026</v>
      </c>
      <c r="J43" s="10" t="inlineStr">
        <is>
          <t>Search result, not opened</t>
        </is>
      </c>
      <c r="K43" s="10" t="inlineStr">
        <is>
          <t>Direção comercial</t>
        </is>
      </c>
      <c r="L43" s="10" t="inlineStr">
        <is>
          <t>Website contact / LinkedIn</t>
        </is>
      </c>
      <c r="M43" s="10" t="inlineStr">
        <is>
          <t>Area placement (Strong)</t>
        </is>
      </c>
      <c r="N43" s="14">
        <f>INDEX(Settings!$B$4:$B$15,MATCH(M43,Settings!$A$4:$A$15,0))</f>
        <v/>
      </c>
      <c r="O43" s="15">
        <f>IF(E43="A",IF(I43&gt;=2022,Settings!$B$18,Settings!$B$19),IF(E43="B",Settings!$B$20,Settings!$B$21))+IF(F43="S",Settings!$B$22,0)</f>
        <v/>
      </c>
      <c r="P43" s="14">
        <f>N43*O43</f>
        <v/>
      </c>
      <c r="Q43" s="16">
        <f>P43*INDEX(Settings!$B$25:$B$27,MATCH(F43,Settings!$A$25:$A$27,0))</f>
        <v/>
      </c>
      <c r="R43" s="10" t="inlineStr">
        <is>
          <t>Not contacted</t>
        </is>
      </c>
      <c r="S43" s="10" t="inlineStr">
        <is>
          <t>Approach with brochure (D40)</t>
        </is>
      </c>
      <c r="T43" s="10" t="inlineStr"/>
      <c r="U43" s="10" t="inlineStr">
        <is>
          <t>Partner</t>
        </is>
      </c>
      <c r="V43" s="10" t="inlineStr">
        <is>
          <t>not assessed</t>
        </is>
      </c>
    </row>
    <row r="44">
      <c r="A44" s="10" t="inlineStr">
        <is>
          <t>S164</t>
        </is>
      </c>
      <c r="B44" s="11" t="inlineStr">
        <is>
          <t>Yard Properties</t>
        </is>
      </c>
      <c r="C44" s="10" t="inlineStr">
        <is>
          <t>Developer (Madeira · Funchal)</t>
        </is>
      </c>
      <c r="D44" s="10" t="inlineStr">
        <is>
          <t>LU, FR, CH, BR, US, IL</t>
        </is>
      </c>
      <c r="E44" s="12" t="inlineStr">
        <is>
          <t>A</t>
        </is>
      </c>
      <c r="F44" s="10" t="inlineStr">
        <is>
          <t>L</t>
        </is>
      </c>
      <c r="G44" s="13" t="inlineStr">
        <is>
          <t>https://www.dnoticias.pt/2024/11/13/427070-yard-properties-investe-no-funchal-com-projecto-residencial-de-luxo/</t>
        </is>
      </c>
      <c r="H44" s="10" t="inlineStr">
        <is>
          <t>Investing in a luxury residential project in Funchal.</t>
        </is>
      </c>
      <c r="I44" s="10" t="n">
        <v>2026</v>
      </c>
      <c r="J44" s="10" t="inlineStr">
        <is>
          <t>Search result, not opened</t>
        </is>
      </c>
      <c r="K44" s="10" t="inlineStr">
        <is>
          <t>Administração</t>
        </is>
      </c>
      <c r="L44" s="10" t="inlineStr">
        <is>
          <t>Website contact / LinkedIn</t>
        </is>
      </c>
      <c r="M44" s="10" t="inlineStr">
        <is>
          <t>Area placement (Strong)</t>
        </is>
      </c>
      <c r="N44" s="14">
        <f>INDEX(Settings!$B$4:$B$15,MATCH(M44,Settings!$A$4:$A$15,0))</f>
        <v/>
      </c>
      <c r="O44" s="15">
        <f>IF(E44="A",IF(I44&gt;=2022,Settings!$B$18,Settings!$B$19),IF(E44="B",Settings!$B$20,Settings!$B$21))+IF(F44="S",Settings!$B$22,0)</f>
        <v/>
      </c>
      <c r="P44" s="14">
        <f>N44*O44</f>
        <v/>
      </c>
      <c r="Q44" s="16">
        <f>P44*INDEX(Settings!$B$25:$B$27,MATCH(F44,Settings!$A$25:$A$27,0))</f>
        <v/>
      </c>
      <c r="R44" s="10" t="inlineStr">
        <is>
          <t>Not contacted</t>
        </is>
      </c>
      <c r="S44" s="10" t="inlineStr">
        <is>
          <t>Approach with brochure (D40)</t>
        </is>
      </c>
      <c r="T44" s="10" t="inlineStr"/>
      <c r="U44" s="10" t="inlineStr">
        <is>
          <t>Partner</t>
        </is>
      </c>
      <c r="V44" s="10" t="inlineStr">
        <is>
          <t>not assessed</t>
        </is>
      </c>
    </row>
    <row r="45">
      <c r="A45" s="10" t="inlineStr">
        <is>
          <t>S202</t>
        </is>
      </c>
      <c r="B45" s="11" t="inlineStr">
        <is>
          <t>EFG Bank (Luxembourg), Lisbon office</t>
        </is>
      </c>
      <c r="C45" s="10" t="inlineStr">
        <is>
          <t>Private bank (private)</t>
        </is>
      </c>
      <c r="D45" s="10" t="inlineStr">
        <is>
          <t>LU, CH</t>
        </is>
      </c>
      <c r="E45" s="12" t="inlineStr">
        <is>
          <t>A</t>
        </is>
      </c>
      <c r="F45" s="10" t="inlineStr">
        <is>
          <t>L</t>
        </is>
      </c>
      <c r="G45" s="13" t="inlineStr">
        <is>
          <t>https://www.privatebankerinternational.com/news/efg-lisbon-portugal/</t>
        </is>
      </c>
      <c r="H45" s="10" t="inlineStr">
        <is>
          <t>Wealth Partner tier (D33): Lisbon office as a branch of EFG Bank (Luxembourg) (prompt 15)</t>
        </is>
      </c>
      <c r="I45" s="10" t="n">
        <v>2019</v>
      </c>
      <c r="J45" s="10" t="inlineStr">
        <is>
          <t>Search result</t>
        </is>
      </c>
      <c r="K45" s="10" t="inlineStr">
        <is>
          <t>Head of international or Portugal desk</t>
        </is>
      </c>
      <c r="L45" s="10" t="inlineStr">
        <is>
          <t>LinkedIn (named role), then company email</t>
        </is>
      </c>
      <c r="M45" s="10" t="inlineStr">
        <is>
          <t>Wealth Partner</t>
        </is>
      </c>
      <c r="N45" s="14">
        <f>INDEX(Settings!$B$4:$B$15,MATCH(M45,Settings!$A$4:$A$15,0))</f>
        <v/>
      </c>
      <c r="O45" s="15">
        <f>IF(E45="A",IF(I45&gt;=2022,Settings!$B$18,Settings!$B$19),IF(E45="B",Settings!$B$20,Settings!$B$21))+IF(F45="S",Settings!$B$22,0)</f>
        <v/>
      </c>
      <c r="P45" s="14">
        <f>N45*O45</f>
        <v/>
      </c>
      <c r="Q45" s="16">
        <f>P45*INDEX(Settings!$B$25:$B$27,MATCH(F45,Settings!$A$25:$A$27,0))</f>
        <v/>
      </c>
      <c r="R45" s="10" t="inlineStr">
        <is>
          <t>To contact</t>
        </is>
      </c>
      <c r="S45" s="10" t="inlineStr">
        <is>
          <t>Touch 1 (sponsors/outreach/v3)</t>
        </is>
      </c>
      <c r="T45" s="10" t="inlineStr">
        <is>
          <t>2026-11-09</t>
        </is>
      </c>
      <c r="U45" s="10" t="inlineStr">
        <is>
          <t>Partner</t>
        </is>
      </c>
      <c r="V45" s="10" t="inlineStr">
        <is>
          <t>Switzerland</t>
        </is>
      </c>
    </row>
    <row r="46">
      <c r="A46" s="10" t="inlineStr">
        <is>
          <t>S203</t>
        </is>
      </c>
      <c r="B46" s="11" t="inlineStr">
        <is>
          <t>Lombard Odier</t>
        </is>
      </c>
      <c r="C46" s="10" t="inlineStr">
        <is>
          <t>Private bank (private)</t>
        </is>
      </c>
      <c r="D46" s="10" t="inlineStr">
        <is>
          <t>CH, BR</t>
        </is>
      </c>
      <c r="E46" s="12" t="inlineStr">
        <is>
          <t>A</t>
        </is>
      </c>
      <c r="F46" s="10" t="inlineStr">
        <is>
          <t>L</t>
        </is>
      </c>
      <c r="G46" s="13" t="inlineStr">
        <is>
          <t>https://www.finews.ch/news/banken/45646-lombard-odier-brasilien-sao-paulo-matteo-dignola</t>
        </is>
      </c>
      <c r="H46" s="10" t="inlineStr">
        <is>
          <t>Wealth Partner tier (D33): Brazil desk and São Paulo office; Portuguese-speaking team in Geneva (Portugal presence to confirm) (prompt 15)</t>
        </is>
      </c>
      <c r="I46" s="10" t="n">
        <v>2021</v>
      </c>
      <c r="J46" s="10" t="inlineStr">
        <is>
          <t>Search result</t>
        </is>
      </c>
      <c r="K46" s="10" t="inlineStr">
        <is>
          <t>Head of international or Portugal desk</t>
        </is>
      </c>
      <c r="L46" s="10" t="inlineStr">
        <is>
          <t>LinkedIn (named role), then company email</t>
        </is>
      </c>
      <c r="M46" s="10" t="inlineStr">
        <is>
          <t>Wealth Partner</t>
        </is>
      </c>
      <c r="N46" s="14">
        <f>INDEX(Settings!$B$4:$B$15,MATCH(M46,Settings!$A$4:$A$15,0))</f>
        <v/>
      </c>
      <c r="O46" s="15">
        <f>IF(E46="A",IF(I46&gt;=2022,Settings!$B$18,Settings!$B$19),IF(E46="B",Settings!$B$20,Settings!$B$21))+IF(F46="S",Settings!$B$22,0)</f>
        <v/>
      </c>
      <c r="P46" s="14">
        <f>N46*O46</f>
        <v/>
      </c>
      <c r="Q46" s="16">
        <f>P46*INDEX(Settings!$B$25:$B$27,MATCH(F46,Settings!$A$25:$A$27,0))</f>
        <v/>
      </c>
      <c r="R46" s="10" t="inlineStr">
        <is>
          <t>To contact</t>
        </is>
      </c>
      <c r="S46" s="10" t="inlineStr">
        <is>
          <t>Touch 1 (sponsors/outreach/v3)</t>
        </is>
      </c>
      <c r="T46" s="10" t="inlineStr">
        <is>
          <t>2026-11-09</t>
        </is>
      </c>
      <c r="U46" s="10" t="inlineStr">
        <is>
          <t>Partner</t>
        </is>
      </c>
      <c r="V46" s="10" t="inlineStr">
        <is>
          <t>Switzerland</t>
        </is>
      </c>
    </row>
    <row r="47">
      <c r="A47" s="10" t="inlineStr">
        <is>
          <t>S001</t>
        </is>
      </c>
      <c r="B47" s="11" t="inlineStr">
        <is>
          <t>ABANCA</t>
        </is>
      </c>
      <c r="C47" s="10" t="inlineStr">
        <is>
          <t>Bank</t>
        </is>
      </c>
      <c r="D47" s="10" t="inlineStr">
        <is>
          <t>CH</t>
        </is>
      </c>
      <c r="E47" s="12" t="inlineStr">
        <is>
          <t>A</t>
        </is>
      </c>
      <c r="F47" s="10" t="inlineStr">
        <is>
          <t>M</t>
        </is>
      </c>
      <c r="G47" s="13" t="inlineStr">
        <is>
          <t>https://www.abanca.pt/pt/residentes-suica/</t>
        </is>
      </c>
      <c r="H47" s="10" t="inlineStr">
        <is>
          <t>Geneva branch with a dedicated contact for Portuguese residents; mortgages for homes in Portugal; CHF-to-Portugal transfers</t>
        </is>
      </c>
      <c r="I47" s="10" t="n">
        <v>2026</v>
      </c>
      <c r="J47" s="10" t="inlineStr">
        <is>
          <t>Fetched</t>
        </is>
      </c>
      <c r="K47" s="10" t="inlineStr">
        <is>
          <t>Marketing lead, non-resident / emigrant segment</t>
        </is>
      </c>
      <c r="L47" s="10" t="inlineStr">
        <is>
          <t>Website: abanca.pt</t>
        </is>
      </c>
      <c r="M47" s="10" t="inlineStr">
        <is>
          <t>Gold</t>
        </is>
      </c>
      <c r="N47" s="14">
        <f>INDEX(Settings!$B$4:$B$15,MATCH(M47,Settings!$A$4:$A$15,0))</f>
        <v/>
      </c>
      <c r="O47" s="15">
        <f>IF(E47="A",IF(I47&gt;=2022,Settings!$B$18,Settings!$B$19),IF(E47="B",Settings!$B$20,Settings!$B$21))+IF(F47="S",Settings!$B$22,0)</f>
        <v/>
      </c>
      <c r="P47" s="14">
        <f>N47*O47</f>
        <v/>
      </c>
      <c r="Q47" s="16">
        <f>P47*INDEX(Settings!$B$25:$B$27,MATCH(F47,Settings!$A$25:$A$27,0))</f>
        <v/>
      </c>
      <c r="R47" s="10" t="inlineStr">
        <is>
          <t>To contact</t>
        </is>
      </c>
      <c r="S47" s="10" t="inlineStr">
        <is>
          <t>Email 1 (template in sponsors/METHOD.md) + LinkedIn request on day 2</t>
        </is>
      </c>
      <c r="T47" s="10" t="inlineStr">
        <is>
          <t>2026-10-26</t>
        </is>
      </c>
      <c r="U47" s="10" t="inlineStr">
        <is>
          <t>Partner</t>
        </is>
      </c>
      <c r="V47" s="10" t="inlineStr">
        <is>
          <t>not assessed</t>
        </is>
      </c>
    </row>
    <row r="48">
      <c r="A48" s="10" t="inlineStr">
        <is>
          <t>S002</t>
        </is>
      </c>
      <c r="B48" s="11" t="inlineStr">
        <is>
          <t>Banque BCP</t>
        </is>
      </c>
      <c r="C48" s="10" t="inlineStr">
        <is>
          <t>Bank</t>
        </is>
      </c>
      <c r="D48" s="10" t="inlineStr">
        <is>
          <t>FR</t>
        </is>
      </c>
      <c r="E48" s="12" t="inlineStr">
        <is>
          <t>A</t>
        </is>
      </c>
      <c r="F48" s="10" t="inlineStr">
        <is>
          <t>M</t>
        </is>
      </c>
      <c r="G48" s="13" t="inlineStr">
        <is>
          <t>https://lusojornal.com/salao-do-imobiliario-e-do-investimento-portugues-muda-se-para-a-porte-de-champeret/</t>
        </is>
      </c>
      <c r="H48" s="10" t="inlineStr">
        <is>
          <t>Runs display ads on LusoJornal; sponsors community events (Lusopress 2023)</t>
        </is>
      </c>
      <c r="I48" s="10" t="n">
        <v>2024</v>
      </c>
      <c r="J48" s="10" t="inlineStr">
        <is>
          <t>Fetched</t>
        </is>
      </c>
      <c r="K48" s="10" t="inlineStr">
        <is>
          <t>Marketing lead, non-resident / emigrant segment</t>
        </is>
      </c>
      <c r="L48" s="10" t="inlineStr">
        <is>
          <t>Website: banquebcp.fr</t>
        </is>
      </c>
      <c r="M48" s="10" t="inlineStr">
        <is>
          <t>Gold</t>
        </is>
      </c>
      <c r="N48" s="14">
        <f>INDEX(Settings!$B$4:$B$15,MATCH(M48,Settings!$A$4:$A$15,0))</f>
        <v/>
      </c>
      <c r="O48" s="15">
        <f>IF(E48="A",IF(I48&gt;=2022,Settings!$B$18,Settings!$B$19),IF(E48="B",Settings!$B$20,Settings!$B$21))+IF(F48="S",Settings!$B$22,0)</f>
        <v/>
      </c>
      <c r="P48" s="14">
        <f>N48*O48</f>
        <v/>
      </c>
      <c r="Q48" s="16">
        <f>P48*INDEX(Settings!$B$25:$B$27,MATCH(F48,Settings!$A$25:$A$27,0))</f>
        <v/>
      </c>
      <c r="R48" s="10" t="inlineStr">
        <is>
          <t>To contact</t>
        </is>
      </c>
      <c r="S48" s="10" t="inlineStr">
        <is>
          <t>Email 1 (template in sponsors/METHOD.md) + LinkedIn request on day 2</t>
        </is>
      </c>
      <c r="T48" s="10" t="inlineStr">
        <is>
          <t>2026-10-26</t>
        </is>
      </c>
      <c r="U48" s="10" t="inlineStr">
        <is>
          <t>Partner</t>
        </is>
      </c>
      <c r="V48" s="10" t="inlineStr">
        <is>
          <t>not assessed</t>
        </is>
      </c>
    </row>
    <row r="49">
      <c r="A49" s="10" t="inlineStr">
        <is>
          <t>S003</t>
        </is>
      </c>
      <c r="B49" s="11" t="inlineStr">
        <is>
          <t>Cabinet d'Architecture Marcelo Moledo</t>
        </is>
      </c>
      <c r="C49" s="10" t="inlineStr">
        <is>
          <t>Architecture</t>
        </is>
      </c>
      <c r="D49" s="10" t="inlineStr">
        <is>
          <t>FR</t>
        </is>
      </c>
      <c r="E49" s="12" t="inlineStr">
        <is>
          <t>A</t>
        </is>
      </c>
      <c r="F49" s="10" t="inlineStr">
        <is>
          <t>S</t>
        </is>
      </c>
      <c r="G49" s="13" t="inlineStr">
        <is>
          <t>https://lusopress.tv/wp-content/uploads/2023/07/lusopress_125.pdf</t>
        </is>
      </c>
      <c r="H49" s="10" t="inlineStr">
        <is>
          <t>Cover profile in Lusopress nº125; offices in Saint-Tropez and Viana do Castelo</t>
        </is>
      </c>
      <c r="I49" s="10" t="n">
        <v>2023</v>
      </c>
      <c r="J49" s="10" t="inlineStr">
        <is>
          <t>Fetched</t>
        </is>
      </c>
      <c r="K49" s="10" t="inlineStr">
        <is>
          <t>Owner or marketing lead</t>
        </is>
      </c>
      <c r="L49" s="10" t="inlineStr">
        <is>
          <t>Phone or email from company website, then LinkedIn</t>
        </is>
      </c>
      <c r="M49" s="10" t="inlineStr">
        <is>
          <t>Silver</t>
        </is>
      </c>
      <c r="N49" s="14">
        <f>INDEX(Settings!$B$4:$B$15,MATCH(M49,Settings!$A$4:$A$15,0))</f>
        <v/>
      </c>
      <c r="O49" s="15">
        <f>IF(E49="A",IF(I49&gt;=2022,Settings!$B$18,Settings!$B$19),IF(E49="B",Settings!$B$20,Settings!$B$21))+IF(F49="S",Settings!$B$22,0)</f>
        <v/>
      </c>
      <c r="P49" s="14">
        <f>N49*O49</f>
        <v/>
      </c>
      <c r="Q49" s="16">
        <f>P49*INDEX(Settings!$B$25:$B$27,MATCH(F49,Settings!$A$25:$A$27,0))</f>
        <v/>
      </c>
      <c r="R49" s="10" t="inlineStr">
        <is>
          <t>To contact</t>
        </is>
      </c>
      <c r="S49" s="10" t="inlineStr">
        <is>
          <t>Email 1 (template in sponsors/METHOD.md) + LinkedIn request on day 2</t>
        </is>
      </c>
      <c r="T49" s="10" t="inlineStr">
        <is>
          <t>2026-10-26</t>
        </is>
      </c>
      <c r="U49" s="10" t="inlineStr">
        <is>
          <t>Partner</t>
        </is>
      </c>
      <c r="V49" s="10" t="inlineStr">
        <is>
          <t>not assessed</t>
        </is>
      </c>
    </row>
    <row r="50">
      <c r="A50" s="10" t="inlineStr">
        <is>
          <t>S004</t>
        </is>
      </c>
      <c r="B50" s="11" t="inlineStr">
        <is>
          <t>Campara (law firm)</t>
        </is>
      </c>
      <c r="C50" s="10" t="inlineStr">
        <is>
          <t>Law firm (Brazilian clients)</t>
        </is>
      </c>
      <c r="D50" s="10" t="inlineStr">
        <is>
          <t>BR</t>
        </is>
      </c>
      <c r="E50" s="12" t="inlineStr">
        <is>
          <t>A</t>
        </is>
      </c>
      <c r="F50" s="10" t="inlineStr">
        <is>
          <t>S</t>
        </is>
      </c>
      <c r="G50" s="13" t="inlineStr">
        <is>
          <t>https://www.eurodicas.com.br/conexao-europa-imoveis/</t>
        </is>
      </c>
      <c r="H50" s="10" t="inlineStr">
        <is>
          <t>Promoted with referral-style links on Eurodicas</t>
        </is>
      </c>
      <c r="I50" s="10" t="n">
        <v>2026</v>
      </c>
      <c r="J50" s="10" t="inlineStr">
        <is>
          <t>Fetched</t>
        </is>
      </c>
      <c r="K50" s="10" t="inlineStr">
        <is>
          <t>Managing partner or business development</t>
        </is>
      </c>
      <c r="L50" s="10" t="inlineStr">
        <is>
          <t>Phone or email from company website, then LinkedIn</t>
        </is>
      </c>
      <c r="M50" s="10" t="inlineStr">
        <is>
          <t>Silver</t>
        </is>
      </c>
      <c r="N50" s="14">
        <f>INDEX(Settings!$B$4:$B$15,MATCH(M50,Settings!$A$4:$A$15,0))</f>
        <v/>
      </c>
      <c r="O50" s="15">
        <f>IF(E50="A",IF(I50&gt;=2022,Settings!$B$18,Settings!$B$19),IF(E50="B",Settings!$B$20,Settings!$B$21))+IF(F50="S",Settings!$B$22,0)</f>
        <v/>
      </c>
      <c r="P50" s="14">
        <f>N50*O50</f>
        <v/>
      </c>
      <c r="Q50" s="16">
        <f>P50*INDEX(Settings!$B$25:$B$27,MATCH(F50,Settings!$A$25:$A$27,0))</f>
        <v/>
      </c>
      <c r="R50" s="10" t="inlineStr">
        <is>
          <t>To contact</t>
        </is>
      </c>
      <c r="S50" s="10" t="inlineStr">
        <is>
          <t>Email 1 (template in sponsors/METHOD.md) + LinkedIn request on day 2</t>
        </is>
      </c>
      <c r="T50" s="10" t="inlineStr">
        <is>
          <t>2026-10-26</t>
        </is>
      </c>
      <c r="U50" s="10" t="inlineStr">
        <is>
          <t>Partner</t>
        </is>
      </c>
      <c r="V50" s="10" t="inlineStr">
        <is>
          <t>not assessed</t>
        </is>
      </c>
    </row>
    <row r="51">
      <c r="A51" s="10" t="inlineStr">
        <is>
          <t>S005</t>
        </is>
      </c>
      <c r="B51" s="11" t="inlineStr">
        <is>
          <t>MC Avocats</t>
        </is>
      </c>
      <c r="C51" s="10" t="inlineStr">
        <is>
          <t>Law firm (France)</t>
        </is>
      </c>
      <c r="D51" s="10" t="inlineStr">
        <is>
          <t>FR</t>
        </is>
      </c>
      <c r="E51" s="12" t="inlineStr">
        <is>
          <t>A</t>
        </is>
      </c>
      <c r="F51" s="10" t="inlineStr">
        <is>
          <t>S</t>
        </is>
      </c>
      <c r="G51" s="13" t="inlineStr">
        <is>
          <t>https://lusojornal.com/salao-do-imobiliario-e-do-investimento-portugues-muda-se-para-a-porte-de-champeret/</t>
        </is>
      </c>
      <c r="H51" s="10" t="inlineStr">
        <is>
          <t>Banner ad on LusoJornal</t>
        </is>
      </c>
      <c r="I51" s="10" t="n">
        <v>2024</v>
      </c>
      <c r="J51" s="10" t="inlineStr">
        <is>
          <t>Fetched</t>
        </is>
      </c>
      <c r="K51" s="10" t="inlineStr">
        <is>
          <t>Managing partner or business development</t>
        </is>
      </c>
      <c r="L51" s="10" t="inlineStr">
        <is>
          <t>Phone or email from company website, then LinkedIn</t>
        </is>
      </c>
      <c r="M51" s="10" t="inlineStr">
        <is>
          <t>Silver</t>
        </is>
      </c>
      <c r="N51" s="14">
        <f>INDEX(Settings!$B$4:$B$15,MATCH(M51,Settings!$A$4:$A$15,0))</f>
        <v/>
      </c>
      <c r="O51" s="15">
        <f>IF(E51="A",IF(I51&gt;=2022,Settings!$B$18,Settings!$B$19),IF(E51="B",Settings!$B$20,Settings!$B$21))+IF(F51="S",Settings!$B$22,0)</f>
        <v/>
      </c>
      <c r="P51" s="14">
        <f>N51*O51</f>
        <v/>
      </c>
      <c r="Q51" s="16">
        <f>P51*INDEX(Settings!$B$25:$B$27,MATCH(F51,Settings!$A$25:$A$27,0))</f>
        <v/>
      </c>
      <c r="R51" s="10" t="inlineStr">
        <is>
          <t>To contact</t>
        </is>
      </c>
      <c r="S51" s="10" t="inlineStr">
        <is>
          <t>Email 1 (template in sponsors/METHOD.md) + LinkedIn request on day 2</t>
        </is>
      </c>
      <c r="T51" s="10" t="inlineStr">
        <is>
          <t>2026-10-26</t>
        </is>
      </c>
      <c r="U51" s="10" t="inlineStr">
        <is>
          <t>Partner</t>
        </is>
      </c>
      <c r="V51" s="10" t="inlineStr">
        <is>
          <t>not assessed</t>
        </is>
      </c>
    </row>
    <row r="52">
      <c r="A52" s="10" t="inlineStr">
        <is>
          <t>S006</t>
        </is>
      </c>
      <c r="B52" s="11" t="inlineStr">
        <is>
          <t>Madeira Estate</t>
        </is>
      </c>
      <c r="C52" s="10" t="inlineStr">
        <is>
          <t>Relocation / residency</t>
        </is>
      </c>
      <c r="D52" s="10" t="inlineStr">
        <is>
          <t>BR, FR</t>
        </is>
      </c>
      <c r="E52" s="12" t="inlineStr">
        <is>
          <t>A</t>
        </is>
      </c>
      <c r="F52" s="10" t="inlineStr">
        <is>
          <t>S</t>
        </is>
      </c>
      <c r="G52" s="13" t="inlineStr">
        <is>
          <t>https://www.dnoticias.pt/2022/12/21/340949-o-processo-de-abertura-de-uma-conta-bancaria-em-portugal/</t>
        </is>
      </c>
      <c r="H52" s="10" t="inlineStr">
        <is>
          <t>Buys sponsored articles ('Patrocinado') in DNoticias</t>
        </is>
      </c>
      <c r="I52" s="10" t="n">
        <v>2022</v>
      </c>
      <c r="J52" s="10" t="inlineStr">
        <is>
          <t>Fetched</t>
        </is>
      </c>
      <c r="K52" s="10" t="inlineStr">
        <is>
          <t>Managing partner or business development</t>
        </is>
      </c>
      <c r="L52" s="10" t="inlineStr">
        <is>
          <t>Phone or email from company website, then LinkedIn</t>
        </is>
      </c>
      <c r="M52" s="10" t="inlineStr">
        <is>
          <t>Silver</t>
        </is>
      </c>
      <c r="N52" s="14">
        <f>INDEX(Settings!$B$4:$B$15,MATCH(M52,Settings!$A$4:$A$15,0))</f>
        <v/>
      </c>
      <c r="O52" s="15">
        <f>IF(E52="A",IF(I52&gt;=2022,Settings!$B$18,Settings!$B$19),IF(E52="B",Settings!$B$20,Settings!$B$21))+IF(F52="S",Settings!$B$22,0)</f>
        <v/>
      </c>
      <c r="P52" s="14">
        <f>N52*O52</f>
        <v/>
      </c>
      <c r="Q52" s="16">
        <f>P52*INDEX(Settings!$B$25:$B$27,MATCH(F52,Settings!$A$25:$A$27,0))</f>
        <v/>
      </c>
      <c r="R52" s="10" t="inlineStr">
        <is>
          <t>To contact</t>
        </is>
      </c>
      <c r="S52" s="10" t="inlineStr">
        <is>
          <t>Email 1 (template in sponsors/METHOD.md) + LinkedIn request on day 2</t>
        </is>
      </c>
      <c r="T52" s="10" t="inlineStr">
        <is>
          <t>2026-10-26</t>
        </is>
      </c>
      <c r="U52" s="10" t="inlineStr">
        <is>
          <t>Partner</t>
        </is>
      </c>
      <c r="V52" s="10" t="inlineStr">
        <is>
          <t>not assessed</t>
        </is>
      </c>
    </row>
    <row r="53">
      <c r="A53" s="10" t="inlineStr">
        <is>
          <t>S007</t>
        </is>
      </c>
      <c r="B53" s="11" t="inlineStr">
        <is>
          <t>Pedro Emanuel de Oliveira (law office)</t>
        </is>
      </c>
      <c r="C53" s="10" t="inlineStr">
        <is>
          <t>Law firm</t>
        </is>
      </c>
      <c r="D53" s="10" t="inlineStr">
        <is>
          <t>FR</t>
        </is>
      </c>
      <c r="E53" s="12" t="inlineStr">
        <is>
          <t>A</t>
        </is>
      </c>
      <c r="F53" s="10" t="inlineStr">
        <is>
          <t>S</t>
        </is>
      </c>
      <c r="G53" s="13" t="inlineStr">
        <is>
          <t>https://lusopress.tv/wp-content/uploads/2023/07/lusopress_125.pdf</t>
        </is>
      </c>
      <c r="H53" s="10" t="inlineStr">
        <is>
          <t>Profile in Lusopress nº125; Bordeaux and Porto</t>
        </is>
      </c>
      <c r="I53" s="10" t="n">
        <v>2023</v>
      </c>
      <c r="J53" s="10" t="inlineStr">
        <is>
          <t>Fetched</t>
        </is>
      </c>
      <c r="K53" s="10" t="inlineStr">
        <is>
          <t>Managing partner or business development</t>
        </is>
      </c>
      <c r="L53" s="10" t="inlineStr">
        <is>
          <t>Phone or email from company website, then LinkedIn</t>
        </is>
      </c>
      <c r="M53" s="10" t="inlineStr">
        <is>
          <t>Silver</t>
        </is>
      </c>
      <c r="N53" s="14">
        <f>INDEX(Settings!$B$4:$B$15,MATCH(M53,Settings!$A$4:$A$15,0))</f>
        <v/>
      </c>
      <c r="O53" s="15">
        <f>IF(E53="A",IF(I53&gt;=2022,Settings!$B$18,Settings!$B$19),IF(E53="B",Settings!$B$20,Settings!$B$21))+IF(F53="S",Settings!$B$22,0)</f>
        <v/>
      </c>
      <c r="P53" s="14">
        <f>N53*O53</f>
        <v/>
      </c>
      <c r="Q53" s="16">
        <f>P53*INDEX(Settings!$B$25:$B$27,MATCH(F53,Settings!$A$25:$A$27,0))</f>
        <v/>
      </c>
      <c r="R53" s="10" t="inlineStr">
        <is>
          <t>To contact</t>
        </is>
      </c>
      <c r="S53" s="10" t="inlineStr">
        <is>
          <t>Email 1 (template in sponsors/METHOD.md) + LinkedIn request on day 2</t>
        </is>
      </c>
      <c r="T53" s="10" t="inlineStr">
        <is>
          <t>2026-10-26</t>
        </is>
      </c>
      <c r="U53" s="10" t="inlineStr">
        <is>
          <t>Partner</t>
        </is>
      </c>
      <c r="V53" s="10" t="inlineStr">
        <is>
          <t>not assessed</t>
        </is>
      </c>
    </row>
    <row r="54">
      <c r="A54" s="10" t="inlineStr">
        <is>
          <t>S008</t>
        </is>
      </c>
      <c r="B54" s="11" t="inlineStr">
        <is>
          <t>Santander Totta</t>
        </is>
      </c>
      <c r="C54" s="10" t="inlineStr">
        <is>
          <t>Bank</t>
        </is>
      </c>
      <c r="D54" s="10" t="inlineStr">
        <is>
          <t>FR, LU, CH</t>
        </is>
      </c>
      <c r="E54" s="12" t="inlineStr">
        <is>
          <t>A</t>
        </is>
      </c>
      <c r="F54" s="10" t="inlineStr">
        <is>
          <t>L</t>
        </is>
      </c>
      <c r="G54" s="13" t="inlineStr">
        <is>
          <t>https://www.santander.pt/portugueses-residentes-exterior</t>
        </is>
      </c>
      <c r="H54" s="10" t="inlineStr">
        <is>
          <t>Dedicated offer for Portuguese living abroad incl. home loans for main or second home; sponsored a community festival in Lyon</t>
        </is>
      </c>
      <c r="I54" s="10" t="n">
        <v>2026</v>
      </c>
      <c r="J54" s="10" t="inlineStr">
        <is>
          <t>Fetched</t>
        </is>
      </c>
      <c r="K54" s="10" t="inlineStr">
        <is>
          <t>Marketing lead, non-resident / emigrant segment</t>
        </is>
      </c>
      <c r="L54" s="10" t="inlineStr">
        <is>
          <t>Website: santander.pt</t>
        </is>
      </c>
      <c r="M54" s="10" t="inlineStr">
        <is>
          <t>Gold</t>
        </is>
      </c>
      <c r="N54" s="14">
        <f>INDEX(Settings!$B$4:$B$15,MATCH(M54,Settings!$A$4:$A$15,0))</f>
        <v/>
      </c>
      <c r="O54" s="15">
        <f>IF(E54="A",IF(I54&gt;=2022,Settings!$B$18,Settings!$B$19),IF(E54="B",Settings!$B$20,Settings!$B$21))+IF(F54="S",Settings!$B$22,0)</f>
        <v/>
      </c>
      <c r="P54" s="14">
        <f>N54*O54</f>
        <v/>
      </c>
      <c r="Q54" s="16">
        <f>P54*INDEX(Settings!$B$25:$B$27,MATCH(F54,Settings!$A$25:$A$27,0))</f>
        <v/>
      </c>
      <c r="R54" s="10" t="inlineStr">
        <is>
          <t>To contact</t>
        </is>
      </c>
      <c r="S54" s="10" t="inlineStr">
        <is>
          <t>Email 1 (template in sponsors/METHOD.md) + LinkedIn request on day 2</t>
        </is>
      </c>
      <c r="T54" s="10" t="inlineStr">
        <is>
          <t>2026-10-26</t>
        </is>
      </c>
      <c r="U54" s="10" t="inlineStr">
        <is>
          <t>Partner</t>
        </is>
      </c>
      <c r="V54" s="10" t="inlineStr">
        <is>
          <t>not assessed</t>
        </is>
      </c>
    </row>
    <row r="55">
      <c r="A55" s="10" t="inlineStr">
        <is>
          <t>S009</t>
        </is>
      </c>
      <c r="B55" s="11" t="inlineStr">
        <is>
          <t>Ebury</t>
        </is>
      </c>
      <c r="C55" s="10" t="inlineStr">
        <is>
          <t>FX (Brazil)</t>
        </is>
      </c>
      <c r="D55" s="10" t="inlineStr">
        <is>
          <t>BR</t>
        </is>
      </c>
      <c r="E55" s="17" t="inlineStr">
        <is>
          <t>B</t>
        </is>
      </c>
      <c r="F55" s="10" t="inlineStr">
        <is>
          <t>M</t>
        </is>
      </c>
      <c r="G55" s="13" t="inlineStr">
        <is>
          <t>https://br.ebury.com/blog/vou-comprar-um-imovel-em-portugal-e-agora-como-faco-o-pagamento</t>
        </is>
      </c>
      <c r="H55" s="10" t="inlineStr">
        <is>
          <t>Blog on paying for Portuguese property from Brazil</t>
        </is>
      </c>
      <c r="I55" s="10" t="n">
        <v>2026</v>
      </c>
      <c r="J55" s="10" t="inlineStr">
        <is>
          <t>Search result</t>
        </is>
      </c>
      <c r="K55" s="10" t="inlineStr">
        <is>
          <t>Partnerships / affiliates manager</t>
        </is>
      </c>
      <c r="L55" s="10" t="inlineStr">
        <is>
          <t>Website: ebury.com</t>
        </is>
      </c>
      <c r="M55" s="10" t="inlineStr">
        <is>
          <t>Gold</t>
        </is>
      </c>
      <c r="N55" s="14">
        <f>INDEX(Settings!$B$4:$B$15,MATCH(M55,Settings!$A$4:$A$15,0))</f>
        <v/>
      </c>
      <c r="O55" s="15">
        <f>IF(E55="A",IF(I55&gt;=2022,Settings!$B$18,Settings!$B$19),IF(E55="B",Settings!$B$20,Settings!$B$21))+IF(F55="S",Settings!$B$22,0)</f>
        <v/>
      </c>
      <c r="P55" s="14">
        <f>N55*O55</f>
        <v/>
      </c>
      <c r="Q55" s="16">
        <f>P55*INDEX(Settings!$B$25:$B$27,MATCH(F55,Settings!$A$25:$A$27,0))</f>
        <v/>
      </c>
      <c r="R55" s="10" t="inlineStr">
        <is>
          <t>To contact</t>
        </is>
      </c>
      <c r="S55" s="10" t="inlineStr">
        <is>
          <t>Email 1 (template in sponsors/METHOD.md) + LinkedIn request on day 2</t>
        </is>
      </c>
      <c r="T55" s="10" t="inlineStr">
        <is>
          <t>2026-10-27</t>
        </is>
      </c>
      <c r="U55" s="10" t="inlineStr">
        <is>
          <t>Partner</t>
        </is>
      </c>
      <c r="V55" s="10" t="inlineStr">
        <is>
          <t>not assessed</t>
        </is>
      </c>
    </row>
    <row r="56">
      <c r="A56" s="10" t="inlineStr">
        <is>
          <t>S010</t>
        </is>
      </c>
      <c r="B56" s="11" t="inlineStr">
        <is>
          <t>Rio Credits</t>
        </is>
      </c>
      <c r="C56" s="10" t="inlineStr">
        <is>
          <t>Credit broker (France)</t>
        </is>
      </c>
      <c r="D56" s="10" t="inlineStr">
        <is>
          <t>FR</t>
        </is>
      </c>
      <c r="E56" s="12" t="inlineStr">
        <is>
          <t>A</t>
        </is>
      </c>
      <c r="F56" s="10" t="inlineStr">
        <is>
          <t>S</t>
        </is>
      </c>
      <c r="G56" s="13" t="inlineStr">
        <is>
          <t>https://lusopress.tv/wp-content/uploads/2018/12/10nomes10historias_3.pdf</t>
        </is>
      </c>
      <c r="H56" s="10" t="inlineStr">
        <is>
          <t>Featured in a Lusopress book; mortgages mainly for Portuguese clients in France. Check still active</t>
        </is>
      </c>
      <c r="I56" s="10" t="n">
        <v>2018</v>
      </c>
      <c r="J56" s="10" t="inlineStr">
        <is>
          <t>Fetched</t>
        </is>
      </c>
      <c r="K56" s="10" t="inlineStr">
        <is>
          <t>Partnerships or marketing lead</t>
        </is>
      </c>
      <c r="L56" s="10" t="inlineStr">
        <is>
          <t>Phone or email from company website, then LinkedIn</t>
        </is>
      </c>
      <c r="M56" s="10" t="inlineStr">
        <is>
          <t>Silver</t>
        </is>
      </c>
      <c r="N56" s="14">
        <f>INDEX(Settings!$B$4:$B$15,MATCH(M56,Settings!$A$4:$A$15,0))</f>
        <v/>
      </c>
      <c r="O56" s="15">
        <f>IF(E56="A",IF(I56&gt;=2022,Settings!$B$18,Settings!$B$19),IF(E56="B",Settings!$B$20,Settings!$B$21))+IF(F56="S",Settings!$B$22,0)</f>
        <v/>
      </c>
      <c r="P56" s="14">
        <f>N56*O56</f>
        <v/>
      </c>
      <c r="Q56" s="16">
        <f>P56*INDEX(Settings!$B$25:$B$27,MATCH(F56,Settings!$A$25:$A$27,0))</f>
        <v/>
      </c>
      <c r="R56" s="10" t="inlineStr">
        <is>
          <t>To contact</t>
        </is>
      </c>
      <c r="S56" s="10" t="inlineStr">
        <is>
          <t>Email 1 (template in sponsors/METHOD.md) + LinkedIn request on day 2</t>
        </is>
      </c>
      <c r="T56" s="10" t="inlineStr">
        <is>
          <t>2026-10-27</t>
        </is>
      </c>
      <c r="U56" s="10" t="inlineStr">
        <is>
          <t>Partner</t>
        </is>
      </c>
      <c r="V56" s="10" t="inlineStr">
        <is>
          <t>not assessed</t>
        </is>
      </c>
    </row>
    <row r="57">
      <c r="A57" s="10" t="inlineStr">
        <is>
          <t>S011</t>
        </is>
      </c>
      <c r="B57" s="11" t="inlineStr">
        <is>
          <t>Vallespir Advogados</t>
        </is>
      </c>
      <c r="C57" s="10" t="inlineStr">
        <is>
          <t>Law firm</t>
        </is>
      </c>
      <c r="D57" s="10" t="inlineStr">
        <is>
          <t>FR</t>
        </is>
      </c>
      <c r="E57" s="12" t="inlineStr">
        <is>
          <t>A</t>
        </is>
      </c>
      <c r="F57" s="10" t="inlineStr">
        <is>
          <t>S</t>
        </is>
      </c>
      <c r="G57" s="13" t="inlineStr">
        <is>
          <t>https://www.idealista.pt/news/node/26913</t>
        </is>
      </c>
      <c r="H57" s="10" t="inlineStr">
        <is>
          <t>Exhibitor, Paris Portuguese property fair (2015)</t>
        </is>
      </c>
      <c r="I57" s="10" t="n">
        <v>2015</v>
      </c>
      <c r="J57" s="10" t="inlineStr">
        <is>
          <t>Fetched</t>
        </is>
      </c>
      <c r="K57" s="10" t="inlineStr">
        <is>
          <t>Managing partner or business development</t>
        </is>
      </c>
      <c r="L57" s="10" t="inlineStr">
        <is>
          <t>Phone or email from company website, then LinkedIn</t>
        </is>
      </c>
      <c r="M57" s="10" t="inlineStr">
        <is>
          <t>Silver</t>
        </is>
      </c>
      <c r="N57" s="14">
        <f>INDEX(Settings!$B$4:$B$15,MATCH(M57,Settings!$A$4:$A$15,0))</f>
        <v/>
      </c>
      <c r="O57" s="15">
        <f>IF(E57="A",IF(I57&gt;=2022,Settings!$B$18,Settings!$B$19),IF(E57="B",Settings!$B$20,Settings!$B$21))+IF(F57="S",Settings!$B$22,0)</f>
        <v/>
      </c>
      <c r="P57" s="14">
        <f>N57*O57</f>
        <v/>
      </c>
      <c r="Q57" s="16">
        <f>P57*INDEX(Settings!$B$25:$B$27,MATCH(F57,Settings!$A$25:$A$27,0))</f>
        <v/>
      </c>
      <c r="R57" s="10" t="inlineStr">
        <is>
          <t>To contact</t>
        </is>
      </c>
      <c r="S57" s="10" t="inlineStr">
        <is>
          <t>Email 1 (template in sponsors/METHOD.md) + LinkedIn request on day 2</t>
        </is>
      </c>
      <c r="T57" s="10" t="inlineStr">
        <is>
          <t>2026-10-27</t>
        </is>
      </c>
      <c r="U57" s="10" t="inlineStr">
        <is>
          <t>Partner</t>
        </is>
      </c>
      <c r="V57" s="10" t="inlineStr">
        <is>
          <t>not assessed</t>
        </is>
      </c>
    </row>
    <row r="58">
      <c r="A58" s="10" t="inlineStr">
        <is>
          <t>S012</t>
        </is>
      </c>
      <c r="B58" s="11" t="inlineStr">
        <is>
          <t>AnchorLess</t>
        </is>
      </c>
      <c r="C58" s="10" t="inlineStr">
        <is>
          <t>Relocation / legal platform</t>
        </is>
      </c>
      <c r="D58" s="10" t="inlineStr">
        <is>
          <t>FR, BR</t>
        </is>
      </c>
      <c r="E58" s="17" t="inlineStr">
        <is>
          <t>B</t>
        </is>
      </c>
      <c r="F58" s="10" t="inlineStr">
        <is>
          <t>S</t>
        </is>
      </c>
      <c r="G58" s="13" t="inlineStr">
        <is>
          <t>https://anchorless.io/fr/partenaires/cafimo</t>
        </is>
      </c>
      <c r="H58" s="10" t="inlineStr">
        <is>
          <t>Relocation platform with a partner network</t>
        </is>
      </c>
      <c r="I58" s="10" t="n">
        <v>2026</v>
      </c>
      <c r="J58" s="10" t="inlineStr">
        <is>
          <t>Search result</t>
        </is>
      </c>
      <c r="K58" s="10" t="inlineStr">
        <is>
          <t>Managing partner or business development</t>
        </is>
      </c>
      <c r="L58" s="10" t="inlineStr">
        <is>
          <t>Phone or email from company website, then LinkedIn</t>
        </is>
      </c>
      <c r="M58" s="10" t="inlineStr">
        <is>
          <t>Silver</t>
        </is>
      </c>
      <c r="N58" s="14">
        <f>INDEX(Settings!$B$4:$B$15,MATCH(M58,Settings!$A$4:$A$15,0))</f>
        <v/>
      </c>
      <c r="O58" s="15">
        <f>IF(E58="A",IF(I58&gt;=2022,Settings!$B$18,Settings!$B$19),IF(E58="B",Settings!$B$20,Settings!$B$21))+IF(F58="S",Settings!$B$22,0)</f>
        <v/>
      </c>
      <c r="P58" s="14">
        <f>N58*O58</f>
        <v/>
      </c>
      <c r="Q58" s="16">
        <f>P58*INDEX(Settings!$B$25:$B$27,MATCH(F58,Settings!$A$25:$A$27,0))</f>
        <v/>
      </c>
      <c r="R58" s="10" t="inlineStr">
        <is>
          <t>To contact</t>
        </is>
      </c>
      <c r="S58" s="10" t="inlineStr">
        <is>
          <t>Email 1 (template in sponsors/METHOD.md) + LinkedIn request on day 2</t>
        </is>
      </c>
      <c r="T58" s="10" t="inlineStr">
        <is>
          <t>2026-10-27</t>
        </is>
      </c>
      <c r="U58" s="10" t="inlineStr">
        <is>
          <t>Partner</t>
        </is>
      </c>
      <c r="V58" s="10" t="inlineStr">
        <is>
          <t>not assessed</t>
        </is>
      </c>
    </row>
    <row r="59">
      <c r="A59" s="10" t="inlineStr">
        <is>
          <t>S013</t>
        </is>
      </c>
      <c r="B59" s="11" t="inlineStr">
        <is>
          <t>Bleap</t>
        </is>
      </c>
      <c r="C59" s="10" t="inlineStr">
        <is>
          <t>FX / fintech</t>
        </is>
      </c>
      <c r="D59" s="10" t="inlineStr">
        <is>
          <t>BR</t>
        </is>
      </c>
      <c r="E59" s="17" t="inlineStr">
        <is>
          <t>B</t>
        </is>
      </c>
      <c r="F59" s="10" t="inlineStr">
        <is>
          <t>S</t>
        </is>
      </c>
      <c r="G59" s="13" t="inlineStr">
        <is>
          <t>https://www.bleap.finance/pt-br/blog/como-enviar-dinheiro-do-brasil-para-portugal</t>
        </is>
      </c>
      <c r="H59" s="10" t="inlineStr">
        <is>
          <t>Guide on sending money from Brazil to Portugal</t>
        </is>
      </c>
      <c r="I59" s="10" t="n">
        <v>2026</v>
      </c>
      <c r="J59" s="10" t="inlineStr">
        <is>
          <t>Search result</t>
        </is>
      </c>
      <c r="K59" s="10" t="inlineStr">
        <is>
          <t>Partnerships / affiliates manager</t>
        </is>
      </c>
      <c r="L59" s="10" t="inlineStr">
        <is>
          <t>Phone or email from company website, then LinkedIn</t>
        </is>
      </c>
      <c r="M59" s="10" t="inlineStr">
        <is>
          <t>Silver</t>
        </is>
      </c>
      <c r="N59" s="14">
        <f>INDEX(Settings!$B$4:$B$15,MATCH(M59,Settings!$A$4:$A$15,0))</f>
        <v/>
      </c>
      <c r="O59" s="15">
        <f>IF(E59="A",IF(I59&gt;=2022,Settings!$B$18,Settings!$B$19),IF(E59="B",Settings!$B$20,Settings!$B$21))+IF(F59="S",Settings!$B$22,0)</f>
        <v/>
      </c>
      <c r="P59" s="14">
        <f>N59*O59</f>
        <v/>
      </c>
      <c r="Q59" s="16">
        <f>P59*INDEX(Settings!$B$25:$B$27,MATCH(F59,Settings!$A$25:$A$27,0))</f>
        <v/>
      </c>
      <c r="R59" s="10" t="inlineStr">
        <is>
          <t>To contact</t>
        </is>
      </c>
      <c r="S59" s="10" t="inlineStr">
        <is>
          <t>Email 1 (template in sponsors/METHOD.md) + LinkedIn request on day 2</t>
        </is>
      </c>
      <c r="T59" s="10" t="inlineStr">
        <is>
          <t>2026-10-27</t>
        </is>
      </c>
      <c r="U59" s="10" t="inlineStr">
        <is>
          <t>Partner</t>
        </is>
      </c>
      <c r="V59" s="10" t="inlineStr">
        <is>
          <t>not assessed</t>
        </is>
      </c>
    </row>
    <row r="60">
      <c r="A60" s="10" t="inlineStr">
        <is>
          <t>S014</t>
        </is>
      </c>
      <c r="B60" s="11" t="inlineStr">
        <is>
          <t>CRN Contabilidade</t>
        </is>
      </c>
      <c r="C60" s="10" t="inlineStr">
        <is>
          <t>Fiscal representative / accounting</t>
        </is>
      </c>
      <c r="D60" s="10" t="inlineStr">
        <is>
          <t>LU, FR, CH, BR</t>
        </is>
      </c>
      <c r="E60" s="17" t="inlineStr">
        <is>
          <t>B</t>
        </is>
      </c>
      <c r="F60" s="10" t="inlineStr">
        <is>
          <t>S</t>
        </is>
      </c>
      <c r="G60" s="13" t="inlineStr">
        <is>
          <t>https://crncontabilidade.pt/?p=21253</t>
        </is>
      </c>
      <c r="H60" s="10" t="inlineStr">
        <is>
          <t>Fiscal representative service for non-residents</t>
        </is>
      </c>
      <c r="I60" s="10" t="n">
        <v>2026</v>
      </c>
      <c r="J60" s="10" t="inlineStr">
        <is>
          <t>Search result</t>
        </is>
      </c>
      <c r="K60" s="10" t="inlineStr">
        <is>
          <t>Owner or marketing lead</t>
        </is>
      </c>
      <c r="L60" s="10" t="inlineStr">
        <is>
          <t>Phone or email from company website, then LinkedIn</t>
        </is>
      </c>
      <c r="M60" s="10" t="inlineStr">
        <is>
          <t>Silver</t>
        </is>
      </c>
      <c r="N60" s="14">
        <f>INDEX(Settings!$B$4:$B$15,MATCH(M60,Settings!$A$4:$A$15,0))</f>
        <v/>
      </c>
      <c r="O60" s="15">
        <f>IF(E60="A",IF(I60&gt;=2022,Settings!$B$18,Settings!$B$19),IF(E60="B",Settings!$B$20,Settings!$B$21))+IF(F60="S",Settings!$B$22,0)</f>
        <v/>
      </c>
      <c r="P60" s="14">
        <f>N60*O60</f>
        <v/>
      </c>
      <c r="Q60" s="16">
        <f>P60*INDEX(Settings!$B$25:$B$27,MATCH(F60,Settings!$A$25:$A$27,0))</f>
        <v/>
      </c>
      <c r="R60" s="10" t="inlineStr">
        <is>
          <t>To contact</t>
        </is>
      </c>
      <c r="S60" s="10" t="inlineStr">
        <is>
          <t>Email 1 (template in sponsors/METHOD.md) + LinkedIn request on day 2</t>
        </is>
      </c>
      <c r="T60" s="10" t="inlineStr">
        <is>
          <t>2026-10-27</t>
        </is>
      </c>
      <c r="U60" s="10" t="inlineStr">
        <is>
          <t>Partner</t>
        </is>
      </c>
      <c r="V60" s="10" t="inlineStr">
        <is>
          <t>not assessed</t>
        </is>
      </c>
    </row>
    <row r="61">
      <c r="A61" s="10" t="inlineStr">
        <is>
          <t>S015</t>
        </is>
      </c>
      <c r="B61" s="11" t="inlineStr">
        <is>
          <t>CV Assessoria Internacional</t>
        </is>
      </c>
      <c r="C61" s="10" t="inlineStr">
        <is>
          <t>Immigration advisory</t>
        </is>
      </c>
      <c r="D61" s="10" t="inlineStr">
        <is>
          <t>BR</t>
        </is>
      </c>
      <c r="E61" s="17" t="inlineStr">
        <is>
          <t>B</t>
        </is>
      </c>
      <c r="F61" s="10" t="inlineStr">
        <is>
          <t>S</t>
        </is>
      </c>
      <c r="G61" s="13" t="inlineStr">
        <is>
          <t>https://investnews.com.br/financas/entre-estrangeiros-brasileiros-lideram-busca-por-imoveis-de-luxo-em-pontos-nobres-de-portugal/amp/</t>
        </is>
      </c>
      <c r="H61" s="10" t="inlineStr">
        <is>
          <t>Quoted on Brazilian migrants to Portugal</t>
        </is>
      </c>
      <c r="I61" s="10" t="n">
        <v>2024</v>
      </c>
      <c r="J61" s="10" t="inlineStr">
        <is>
          <t>Fetched</t>
        </is>
      </c>
      <c r="K61" s="10" t="inlineStr">
        <is>
          <t>Managing partner or business development</t>
        </is>
      </c>
      <c r="L61" s="10" t="inlineStr">
        <is>
          <t>Phone or email from company website, then LinkedIn</t>
        </is>
      </c>
      <c r="M61" s="10" t="inlineStr">
        <is>
          <t>Silver</t>
        </is>
      </c>
      <c r="N61" s="14">
        <f>INDEX(Settings!$B$4:$B$15,MATCH(M61,Settings!$A$4:$A$15,0))</f>
        <v/>
      </c>
      <c r="O61" s="15">
        <f>IF(E61="A",IF(I61&gt;=2022,Settings!$B$18,Settings!$B$19),IF(E61="B",Settings!$B$20,Settings!$B$21))+IF(F61="S",Settings!$B$22,0)</f>
        <v/>
      </c>
      <c r="P61" s="14">
        <f>N61*O61</f>
        <v/>
      </c>
      <c r="Q61" s="16">
        <f>P61*INDEX(Settings!$B$25:$B$27,MATCH(F61,Settings!$A$25:$A$27,0))</f>
        <v/>
      </c>
      <c r="R61" s="10" t="inlineStr">
        <is>
          <t>To contact</t>
        </is>
      </c>
      <c r="S61" s="10" t="inlineStr">
        <is>
          <t>Email 1 (template in sponsors/METHOD.md) + LinkedIn request on day 2</t>
        </is>
      </c>
      <c r="T61" s="10" t="inlineStr">
        <is>
          <t>2026-10-27</t>
        </is>
      </c>
      <c r="U61" s="10" t="inlineStr">
        <is>
          <t>Partner</t>
        </is>
      </c>
      <c r="V61" s="10" t="inlineStr">
        <is>
          <t>not assessed</t>
        </is>
      </c>
    </row>
    <row r="62">
      <c r="A62" s="10" t="inlineStr">
        <is>
          <t>S016</t>
        </is>
      </c>
      <c r="B62" s="11" t="inlineStr">
        <is>
          <t>Cafimo</t>
        </is>
      </c>
      <c r="C62" s="10" t="inlineStr">
        <is>
          <t>Credit broker</t>
        </is>
      </c>
      <c r="D62" s="10" t="inlineStr">
        <is>
          <t>FR</t>
        </is>
      </c>
      <c r="E62" s="17" t="inlineStr">
        <is>
          <t>B</t>
        </is>
      </c>
      <c r="F62" s="10" t="inlineStr">
        <is>
          <t>S</t>
        </is>
      </c>
      <c r="G62" s="13" t="inlineStr">
        <is>
          <t>https://anchorless.io/fr/partenaires/cafimo</t>
        </is>
      </c>
      <c r="H62" s="10" t="inlineStr">
        <is>
          <t>Financing in Portugal; partner of AnchorLess</t>
        </is>
      </c>
      <c r="I62" s="10" t="n">
        <v>2026</v>
      </c>
      <c r="J62" s="10" t="inlineStr">
        <is>
          <t>Search result</t>
        </is>
      </c>
      <c r="K62" s="10" t="inlineStr">
        <is>
          <t>Partnerships or marketing lead</t>
        </is>
      </c>
      <c r="L62" s="10" t="inlineStr">
        <is>
          <t>Phone or email from company website, then LinkedIn</t>
        </is>
      </c>
      <c r="M62" s="10" t="inlineStr">
        <is>
          <t>Silver</t>
        </is>
      </c>
      <c r="N62" s="14">
        <f>INDEX(Settings!$B$4:$B$15,MATCH(M62,Settings!$A$4:$A$15,0))</f>
        <v/>
      </c>
      <c r="O62" s="15">
        <f>IF(E62="A",IF(I62&gt;=2022,Settings!$B$18,Settings!$B$19),IF(E62="B",Settings!$B$20,Settings!$B$21))+IF(F62="S",Settings!$B$22,0)</f>
        <v/>
      </c>
      <c r="P62" s="14">
        <f>N62*O62</f>
        <v/>
      </c>
      <c r="Q62" s="16">
        <f>P62*INDEX(Settings!$B$25:$B$27,MATCH(F62,Settings!$A$25:$A$27,0))</f>
        <v/>
      </c>
      <c r="R62" s="10" t="inlineStr">
        <is>
          <t>To contact</t>
        </is>
      </c>
      <c r="S62" s="10" t="inlineStr">
        <is>
          <t>Email 1 (template in sponsors/METHOD.md) + LinkedIn request on day 2</t>
        </is>
      </c>
      <c r="T62" s="10" t="inlineStr">
        <is>
          <t>2026-10-27</t>
        </is>
      </c>
      <c r="U62" s="10" t="inlineStr">
        <is>
          <t>Partner</t>
        </is>
      </c>
      <c r="V62" s="10" t="inlineStr">
        <is>
          <t>not assessed</t>
        </is>
      </c>
    </row>
    <row r="63">
      <c r="A63" s="10" t="inlineStr">
        <is>
          <t>S017</t>
        </is>
      </c>
      <c r="B63" s="11" t="inlineStr">
        <is>
          <t>Cidadania e Visto</t>
        </is>
      </c>
      <c r="C63" s="10" t="inlineStr">
        <is>
          <t>Visa advisory</t>
        </is>
      </c>
      <c r="D63" s="10" t="inlineStr">
        <is>
          <t>BR</t>
        </is>
      </c>
      <c r="E63" s="17" t="inlineStr">
        <is>
          <t>B</t>
        </is>
      </c>
      <c r="F63" s="10" t="inlineStr">
        <is>
          <t>S</t>
        </is>
      </c>
      <c r="G63" s="13" t="inlineStr">
        <is>
          <t>https://www.cidadaniaevisto.com.br/blog/quanto-custa-mudanca-brasil-para-portugal</t>
        </is>
      </c>
      <c r="H63" s="10" t="inlineStr">
        <is>
          <t>Content for Brazilians moving to Portugal</t>
        </is>
      </c>
      <c r="I63" s="10" t="n">
        <v>2026</v>
      </c>
      <c r="J63" s="10" t="inlineStr">
        <is>
          <t>Search result</t>
        </is>
      </c>
      <c r="K63" s="10" t="inlineStr">
        <is>
          <t>Managing partner or business development</t>
        </is>
      </c>
      <c r="L63" s="10" t="inlineStr">
        <is>
          <t>Phone or email from company website, then LinkedIn</t>
        </is>
      </c>
      <c r="M63" s="10" t="inlineStr">
        <is>
          <t>Silver</t>
        </is>
      </c>
      <c r="N63" s="14">
        <f>INDEX(Settings!$B$4:$B$15,MATCH(M63,Settings!$A$4:$A$15,0))</f>
        <v/>
      </c>
      <c r="O63" s="15">
        <f>IF(E63="A",IF(I63&gt;=2022,Settings!$B$18,Settings!$B$19),IF(E63="B",Settings!$B$20,Settings!$B$21))+IF(F63="S",Settings!$B$22,0)</f>
        <v/>
      </c>
      <c r="P63" s="14">
        <f>N63*O63</f>
        <v/>
      </c>
      <c r="Q63" s="16">
        <f>P63*INDEX(Settings!$B$25:$B$27,MATCH(F63,Settings!$A$25:$A$27,0))</f>
        <v/>
      </c>
      <c r="R63" s="10" t="inlineStr">
        <is>
          <t>To contact</t>
        </is>
      </c>
      <c r="S63" s="10" t="inlineStr">
        <is>
          <t>Email 1 (template in sponsors/METHOD.md) + LinkedIn request on day 2</t>
        </is>
      </c>
      <c r="T63" s="10" t="inlineStr">
        <is>
          <t>2026-10-28</t>
        </is>
      </c>
      <c r="U63" s="10" t="inlineStr">
        <is>
          <t>Partner</t>
        </is>
      </c>
      <c r="V63" s="10" t="inlineStr">
        <is>
          <t>not assessed</t>
        </is>
      </c>
    </row>
    <row r="64">
      <c r="A64" s="10" t="inlineStr">
        <is>
          <t>S018</t>
        </is>
      </c>
      <c r="B64" s="11" t="inlineStr">
        <is>
          <t>Euodia</t>
        </is>
      </c>
      <c r="C64" s="10" t="inlineStr">
        <is>
          <t>Succession services (France)</t>
        </is>
      </c>
      <c r="D64" s="10" t="inlineStr">
        <is>
          <t>FR</t>
        </is>
      </c>
      <c r="E64" s="17" t="inlineStr">
        <is>
          <t>B</t>
        </is>
      </c>
      <c r="F64" s="10" t="inlineStr">
        <is>
          <t>S</t>
        </is>
      </c>
      <c r="G64" s="13" t="inlineStr">
        <is>
          <t>https://www.euodia.fr/succession/portugal/</t>
        </is>
      </c>
      <c r="H64" s="10" t="inlineStr">
        <is>
          <t>Guide on Portuguese successions for French families</t>
        </is>
      </c>
      <c r="I64" s="10" t="n">
        <v>2026</v>
      </c>
      <c r="J64" s="10" t="inlineStr">
        <is>
          <t>Search result</t>
        </is>
      </c>
      <c r="K64" s="10" t="inlineStr">
        <is>
          <t>Managing partner or business development</t>
        </is>
      </c>
      <c r="L64" s="10" t="inlineStr">
        <is>
          <t>Website: euodia.fr</t>
        </is>
      </c>
      <c r="M64" s="10" t="inlineStr">
        <is>
          <t>Silver</t>
        </is>
      </c>
      <c r="N64" s="14">
        <f>INDEX(Settings!$B$4:$B$15,MATCH(M64,Settings!$A$4:$A$15,0))</f>
        <v/>
      </c>
      <c r="O64" s="15">
        <f>IF(E64="A",IF(I64&gt;=2022,Settings!$B$18,Settings!$B$19),IF(E64="B",Settings!$B$20,Settings!$B$21))+IF(F64="S",Settings!$B$22,0)</f>
        <v/>
      </c>
      <c r="P64" s="14">
        <f>N64*O64</f>
        <v/>
      </c>
      <c r="Q64" s="16">
        <f>P64*INDEX(Settings!$B$25:$B$27,MATCH(F64,Settings!$A$25:$A$27,0))</f>
        <v/>
      </c>
      <c r="R64" s="10" t="inlineStr">
        <is>
          <t>To contact</t>
        </is>
      </c>
      <c r="S64" s="10" t="inlineStr">
        <is>
          <t>Email 1 (template in sponsors/METHOD.md) + LinkedIn request on day 2</t>
        </is>
      </c>
      <c r="T64" s="10" t="inlineStr">
        <is>
          <t>2026-10-28</t>
        </is>
      </c>
      <c r="U64" s="10" t="inlineStr">
        <is>
          <t>Partner</t>
        </is>
      </c>
      <c r="V64" s="10" t="inlineStr">
        <is>
          <t>not assessed</t>
        </is>
      </c>
    </row>
    <row r="65">
      <c r="A65" s="10" t="inlineStr">
        <is>
          <t>S019</t>
        </is>
      </c>
      <c r="B65" s="11" t="inlineStr">
        <is>
          <t>Groupe Sopinor</t>
        </is>
      </c>
      <c r="C65" s="10" t="inlineStr">
        <is>
          <t>Construction (Luxembourg)</t>
        </is>
      </c>
      <c r="D65" s="10" t="inlineStr">
        <is>
          <t>LU</t>
        </is>
      </c>
      <c r="E65" s="17" t="inlineStr">
        <is>
          <t>B</t>
        </is>
      </c>
      <c r="F65" s="10" t="inlineStr">
        <is>
          <t>S</t>
        </is>
      </c>
      <c r="G65" s="13" t="inlineStr">
        <is>
          <t>https://en.paperjam.lu/club/event/paperjam-10x6-decisao-the-portuguese-business-community-in-action</t>
        </is>
      </c>
      <c r="H65" s="10" t="inlineStr">
        <is>
          <t>Portuguese-led group; speaker at the Decisão/Paperjam event (10 Nov 2026)</t>
        </is>
      </c>
      <c r="I65" s="10" t="n">
        <v>2026</v>
      </c>
      <c r="J65" s="10" t="inlineStr">
        <is>
          <t>Fetched</t>
        </is>
      </c>
      <c r="K65" s="10" t="inlineStr">
        <is>
          <t>Owner or marketing lead</t>
        </is>
      </c>
      <c r="L65" s="10" t="inlineStr">
        <is>
          <t>Phone or email from company website, then LinkedIn</t>
        </is>
      </c>
      <c r="M65" s="10" t="inlineStr">
        <is>
          <t>Silver</t>
        </is>
      </c>
      <c r="N65" s="14">
        <f>INDEX(Settings!$B$4:$B$15,MATCH(M65,Settings!$A$4:$A$15,0))</f>
        <v/>
      </c>
      <c r="O65" s="15">
        <f>IF(E65="A",IF(I65&gt;=2022,Settings!$B$18,Settings!$B$19),IF(E65="B",Settings!$B$20,Settings!$B$21))+IF(F65="S",Settings!$B$22,0)</f>
        <v/>
      </c>
      <c r="P65" s="14">
        <f>N65*O65</f>
        <v/>
      </c>
      <c r="Q65" s="16">
        <f>P65*INDEX(Settings!$B$25:$B$27,MATCH(F65,Settings!$A$25:$A$27,0))</f>
        <v/>
      </c>
      <c r="R65" s="10" t="inlineStr">
        <is>
          <t>To contact</t>
        </is>
      </c>
      <c r="S65" s="10" t="inlineStr">
        <is>
          <t>Email 1 (template in sponsors/METHOD.md) + LinkedIn request on day 2</t>
        </is>
      </c>
      <c r="T65" s="10" t="inlineStr">
        <is>
          <t>2026-10-28</t>
        </is>
      </c>
      <c r="U65" s="10" t="inlineStr">
        <is>
          <t>Partner</t>
        </is>
      </c>
      <c r="V65" s="10" t="inlineStr">
        <is>
          <t>not assessed</t>
        </is>
      </c>
    </row>
    <row r="66">
      <c r="A66" s="10" t="inlineStr">
        <is>
          <t>S020</t>
        </is>
      </c>
      <c r="B66" s="11" t="inlineStr">
        <is>
          <t>Portugal Residency Advisors</t>
        </is>
      </c>
      <c r="C66" s="10" t="inlineStr">
        <is>
          <t>Residency / legal</t>
        </is>
      </c>
      <c r="D66" s="10" t="inlineStr">
        <is>
          <t>BR</t>
        </is>
      </c>
      <c r="E66" s="17" t="inlineStr">
        <is>
          <t>B</t>
        </is>
      </c>
      <c r="F66" s="10" t="inlineStr">
        <is>
          <t>S</t>
        </is>
      </c>
      <c r="G66" s="13" t="inlineStr">
        <is>
          <t>https://www.portugalresidencyadvisors.com/pt-br/advogado-imobiliario-portugal/</t>
        </is>
      </c>
      <c r="H66" s="10" t="inlineStr">
        <is>
          <t>Brazilian-Portuguese pages on property lawyers</t>
        </is>
      </c>
      <c r="I66" s="10" t="n">
        <v>2026</v>
      </c>
      <c r="J66" s="10" t="inlineStr">
        <is>
          <t>Search result</t>
        </is>
      </c>
      <c r="K66" s="10" t="inlineStr">
        <is>
          <t>Managing partner or business development</t>
        </is>
      </c>
      <c r="L66" s="10" t="inlineStr">
        <is>
          <t>Phone or email from company website, then LinkedIn</t>
        </is>
      </c>
      <c r="M66" s="10" t="inlineStr">
        <is>
          <t>Silver</t>
        </is>
      </c>
      <c r="N66" s="14">
        <f>INDEX(Settings!$B$4:$B$15,MATCH(M66,Settings!$A$4:$A$15,0))</f>
        <v/>
      </c>
      <c r="O66" s="15">
        <f>IF(E66="A",IF(I66&gt;=2022,Settings!$B$18,Settings!$B$19),IF(E66="B",Settings!$B$20,Settings!$B$21))+IF(F66="S",Settings!$B$22,0)</f>
        <v/>
      </c>
      <c r="P66" s="14">
        <f>N66*O66</f>
        <v/>
      </c>
      <c r="Q66" s="16">
        <f>P66*INDEX(Settings!$B$25:$B$27,MATCH(F66,Settings!$A$25:$A$27,0))</f>
        <v/>
      </c>
      <c r="R66" s="10" t="inlineStr">
        <is>
          <t>To contact</t>
        </is>
      </c>
      <c r="S66" s="10" t="inlineStr">
        <is>
          <t>Email 1 (template in sponsors/METHOD.md) + LinkedIn request on day 2</t>
        </is>
      </c>
      <c r="T66" s="10" t="inlineStr">
        <is>
          <t>2026-10-28</t>
        </is>
      </c>
      <c r="U66" s="10" t="inlineStr">
        <is>
          <t>Partner</t>
        </is>
      </c>
      <c r="V66" s="10" t="inlineStr">
        <is>
          <t>not assessed</t>
        </is>
      </c>
    </row>
    <row r="67">
      <c r="A67" s="10" t="inlineStr">
        <is>
          <t>S021</t>
        </is>
      </c>
      <c r="B67" s="11" t="inlineStr">
        <is>
          <t>Silva Avocat &amp; Partners</t>
        </is>
      </c>
      <c r="C67" s="10" t="inlineStr">
        <is>
          <t>Law firm (Paris/Lisbon)</t>
        </is>
      </c>
      <c r="D67" s="10" t="inlineStr">
        <is>
          <t>FR</t>
        </is>
      </c>
      <c r="E67" s="17" t="inlineStr">
        <is>
          <t>B</t>
        </is>
      </c>
      <c r="F67" s="10" t="inlineStr">
        <is>
          <t>S</t>
        </is>
      </c>
      <c r="G67" s="13" t="inlineStr">
        <is>
          <t>https://www.lemondedudroit.fr/vie-des-cabinets/102561-emilie-silva-fonde-silva-avocat-partners.html</t>
        </is>
      </c>
      <c r="H67" s="10" t="inlineStr">
        <is>
          <t>Founder admitted in Paris and Lisbon (Jan 2026)</t>
        </is>
      </c>
      <c r="I67" s="10" t="n">
        <v>2026</v>
      </c>
      <c r="J67" s="10" t="inlineStr">
        <is>
          <t>Fetched</t>
        </is>
      </c>
      <c r="K67" s="10" t="inlineStr">
        <is>
          <t>Managing partner or business development</t>
        </is>
      </c>
      <c r="L67" s="10" t="inlineStr">
        <is>
          <t>Phone or email from company website, then LinkedIn</t>
        </is>
      </c>
      <c r="M67" s="10" t="inlineStr">
        <is>
          <t>Silver</t>
        </is>
      </c>
      <c r="N67" s="14">
        <f>INDEX(Settings!$B$4:$B$15,MATCH(M67,Settings!$A$4:$A$15,0))</f>
        <v/>
      </c>
      <c r="O67" s="15">
        <f>IF(E67="A",IF(I67&gt;=2022,Settings!$B$18,Settings!$B$19),IF(E67="B",Settings!$B$20,Settings!$B$21))+IF(F67="S",Settings!$B$22,0)</f>
        <v/>
      </c>
      <c r="P67" s="14">
        <f>N67*O67</f>
        <v/>
      </c>
      <c r="Q67" s="16">
        <f>P67*INDEX(Settings!$B$25:$B$27,MATCH(F67,Settings!$A$25:$A$27,0))</f>
        <v/>
      </c>
      <c r="R67" s="10" t="inlineStr">
        <is>
          <t>To contact</t>
        </is>
      </c>
      <c r="S67" s="10" t="inlineStr">
        <is>
          <t>Email 1 (template in sponsors/METHOD.md) + LinkedIn request on day 2</t>
        </is>
      </c>
      <c r="T67" s="10" t="inlineStr">
        <is>
          <t>2026-10-28</t>
        </is>
      </c>
      <c r="U67" s="10" t="inlineStr">
        <is>
          <t>Partner</t>
        </is>
      </c>
      <c r="V67" s="10" t="inlineStr">
        <is>
          <t>not assessed</t>
        </is>
      </c>
    </row>
    <row r="68">
      <c r="A68" s="10" t="inlineStr">
        <is>
          <t>S022</t>
        </is>
      </c>
      <c r="B68" s="11" t="inlineStr">
        <is>
          <t>ibani</t>
        </is>
      </c>
      <c r="C68" s="10" t="inlineStr">
        <is>
          <t>FX / Swiss pension guides</t>
        </is>
      </c>
      <c r="D68" s="10" t="inlineStr">
        <is>
          <t>CH</t>
        </is>
      </c>
      <c r="E68" s="17" t="inlineStr">
        <is>
          <t>B</t>
        </is>
      </c>
      <c r="F68" s="10" t="inlineStr">
        <is>
          <t>S</t>
        </is>
      </c>
      <c r="G68" s="13" t="inlineStr">
        <is>
          <t>https://www.ibani.com/pt/guias/levantar-2-pilar-imovel-estrangeiro</t>
        </is>
      </c>
      <c r="H68" s="10" t="inlineStr">
        <is>
          <t>Portuguese-language guide on using the Swiss 2nd pillar to buy a home abroad; earns on FX margin</t>
        </is>
      </c>
      <c r="I68" s="10" t="n">
        <v>2026</v>
      </c>
      <c r="J68" s="10" t="inlineStr">
        <is>
          <t>Fetched</t>
        </is>
      </c>
      <c r="K68" s="10" t="inlineStr">
        <is>
          <t>Partnerships / affiliates manager</t>
        </is>
      </c>
      <c r="L68" s="10" t="inlineStr">
        <is>
          <t>Website: ibani.com</t>
        </is>
      </c>
      <c r="M68" s="10" t="inlineStr">
        <is>
          <t>Silver</t>
        </is>
      </c>
      <c r="N68" s="14">
        <f>INDEX(Settings!$B$4:$B$15,MATCH(M68,Settings!$A$4:$A$15,0))</f>
        <v/>
      </c>
      <c r="O68" s="15">
        <f>IF(E68="A",IF(I68&gt;=2022,Settings!$B$18,Settings!$B$19),IF(E68="B",Settings!$B$20,Settings!$B$21))+IF(F68="S",Settings!$B$22,0)</f>
        <v/>
      </c>
      <c r="P68" s="14">
        <f>N68*O68</f>
        <v/>
      </c>
      <c r="Q68" s="16">
        <f>P68*INDEX(Settings!$B$25:$B$27,MATCH(F68,Settings!$A$25:$A$27,0))</f>
        <v/>
      </c>
      <c r="R68" s="10" t="inlineStr">
        <is>
          <t>To contact</t>
        </is>
      </c>
      <c r="S68" s="10" t="inlineStr">
        <is>
          <t>Email 1 (template in sponsors/METHOD.md) + LinkedIn request on day 2</t>
        </is>
      </c>
      <c r="T68" s="10" t="inlineStr">
        <is>
          <t>2026-10-28</t>
        </is>
      </c>
      <c r="U68" s="10" t="inlineStr">
        <is>
          <t>Partner</t>
        </is>
      </c>
      <c r="V68" s="10" t="inlineStr">
        <is>
          <t>not assessed</t>
        </is>
      </c>
    </row>
    <row r="69">
      <c r="A69" s="10" t="inlineStr">
        <is>
          <t>S023</t>
        </is>
      </c>
      <c r="B69" s="11" t="inlineStr">
        <is>
          <t>Remessa Online</t>
        </is>
      </c>
      <c r="C69" s="10" t="inlineStr">
        <is>
          <t>FX / remittances</t>
        </is>
      </c>
      <c r="D69" s="10" t="inlineStr">
        <is>
          <t>BR</t>
        </is>
      </c>
      <c r="E69" s="12" t="inlineStr">
        <is>
          <t>A</t>
        </is>
      </c>
      <c r="F69" s="10" t="inlineStr">
        <is>
          <t>M</t>
        </is>
      </c>
      <c r="G69" s="13" t="inlineStr">
        <is>
          <t>https://www.eurodicas.com.br/comprar-casa-em-portugal/</t>
        </is>
      </c>
      <c r="H69" s="10" t="inlineStr">
        <is>
          <t>Affiliate links and reader discount on Eurodicas</t>
        </is>
      </c>
      <c r="I69" s="10" t="n">
        <v>2026</v>
      </c>
      <c r="J69" s="10" t="inlineStr">
        <is>
          <t>Fetched</t>
        </is>
      </c>
      <c r="K69" s="10" t="inlineStr">
        <is>
          <t>Partnerships / affiliates manager</t>
        </is>
      </c>
      <c r="L69" s="10" t="inlineStr">
        <is>
          <t>Website: remessaonline.com.br</t>
        </is>
      </c>
      <c r="M69" s="10" t="inlineStr">
        <is>
          <t>Affiliate + sponsor</t>
        </is>
      </c>
      <c r="N69" s="14">
        <f>INDEX(Settings!$B$4:$B$15,MATCH(M69,Settings!$A$4:$A$15,0))</f>
        <v/>
      </c>
      <c r="O69" s="15">
        <f>IF(E69="A",IF(I69&gt;=2022,Settings!$B$18,Settings!$B$19),IF(E69="B",Settings!$B$20,Settings!$B$21))+IF(F69="S",Settings!$B$22,0)</f>
        <v/>
      </c>
      <c r="P69" s="14">
        <f>N69*O69</f>
        <v/>
      </c>
      <c r="Q69" s="16">
        <f>P69*INDEX(Settings!$B$25:$B$27,MATCH(F69,Settings!$A$25:$A$27,0))</f>
        <v/>
      </c>
      <c r="R69" s="10" t="inlineStr">
        <is>
          <t>To contact</t>
        </is>
      </c>
      <c r="S69" s="10" t="inlineStr">
        <is>
          <t>Email 1 (template in sponsors/METHOD.md) + LinkedIn request on day 2</t>
        </is>
      </c>
      <c r="T69" s="10" t="inlineStr">
        <is>
          <t>2026-10-28</t>
        </is>
      </c>
      <c r="U69" s="10" t="inlineStr">
        <is>
          <t>Partner</t>
        </is>
      </c>
      <c r="V69" s="10" t="inlineStr">
        <is>
          <t>not assessed</t>
        </is>
      </c>
    </row>
    <row r="70">
      <c r="A70" s="10" t="inlineStr">
        <is>
          <t>S024</t>
        </is>
      </c>
      <c r="B70" s="11" t="inlineStr">
        <is>
          <t>Caixa Geral de Depósitos</t>
        </is>
      </c>
      <c r="C70" s="10" t="inlineStr">
        <is>
          <t>Bank</t>
        </is>
      </c>
      <c r="D70" s="10" t="inlineStr">
        <is>
          <t>LU, FR, CH</t>
        </is>
      </c>
      <c r="E70" s="12" t="inlineStr">
        <is>
          <t>A</t>
        </is>
      </c>
      <c r="F70" s="10" t="inlineStr">
        <is>
          <t>L</t>
        </is>
      </c>
      <c r="G70" s="13" t="inlineStr">
        <is>
          <t>https://hrportugal.sapo.pt/?p=230644</t>
        </is>
      </c>
      <c r="H70" s="10" t="inlineStr">
        <is>
          <t>Opened a Luxembourg rep office (Oct 2021) offering help buying property in Portugal; sponsors community events in France</t>
        </is>
      </c>
      <c r="I70" s="10" t="n">
        <v>2021</v>
      </c>
      <c r="J70" s="10" t="inlineStr">
        <is>
          <t>Fetched</t>
        </is>
      </c>
      <c r="K70" s="10" t="inlineStr">
        <is>
          <t>Marketing lead, non-resident / emigrant segment</t>
        </is>
      </c>
      <c r="L70" s="10" t="inlineStr">
        <is>
          <t>Website: cgd.pt</t>
        </is>
      </c>
      <c r="M70" s="10" t="inlineStr">
        <is>
          <t>Gold</t>
        </is>
      </c>
      <c r="N70" s="14">
        <f>INDEX(Settings!$B$4:$B$15,MATCH(M70,Settings!$A$4:$A$15,0))</f>
        <v/>
      </c>
      <c r="O70" s="15">
        <f>IF(E70="A",IF(I70&gt;=2022,Settings!$B$18,Settings!$B$19),IF(E70="B",Settings!$B$20,Settings!$B$21))+IF(F70="S",Settings!$B$22,0)</f>
        <v/>
      </c>
      <c r="P70" s="14">
        <f>N70*O70</f>
        <v/>
      </c>
      <c r="Q70" s="16">
        <f>P70*INDEX(Settings!$B$25:$B$27,MATCH(F70,Settings!$A$25:$A$27,0))</f>
        <v/>
      </c>
      <c r="R70" s="10" t="inlineStr">
        <is>
          <t>To contact</t>
        </is>
      </c>
      <c r="S70" s="10" t="inlineStr">
        <is>
          <t>Email 1 (template in sponsors/METHOD.md) + LinkedIn request on day 2</t>
        </is>
      </c>
      <c r="T70" s="10" t="inlineStr">
        <is>
          <t>2026-10-28</t>
        </is>
      </c>
      <c r="U70" s="10" t="inlineStr">
        <is>
          <t>Partner</t>
        </is>
      </c>
      <c r="V70" s="10" t="inlineStr">
        <is>
          <t>not assessed</t>
        </is>
      </c>
    </row>
    <row r="71">
      <c r="A71" s="10" t="inlineStr">
        <is>
          <t>S025</t>
        </is>
      </c>
      <c r="B71" s="11" t="inlineStr">
        <is>
          <t>Montepio</t>
        </is>
      </c>
      <c r="C71" s="10" t="inlineStr">
        <is>
          <t>Bank</t>
        </is>
      </c>
      <c r="D71" s="10" t="inlineStr">
        <is>
          <t>FR, LU, CH</t>
        </is>
      </c>
      <c r="E71" s="12" t="inlineStr">
        <is>
          <t>A</t>
        </is>
      </c>
      <c r="F71" s="10" t="inlineStr">
        <is>
          <t>L</t>
        </is>
      </c>
      <c r="G71" s="13" t="inlineStr">
        <is>
          <t>https://www.idealista.pt/news/node/26913</t>
        </is>
      </c>
      <c r="H71" s="10" t="inlineStr">
        <is>
          <t>Exhibited on the Lisbon stand at the Paris Portuguese property fair (2015). Old evidence: re-check</t>
        </is>
      </c>
      <c r="I71" s="10" t="n">
        <v>2015</v>
      </c>
      <c r="J71" s="10" t="inlineStr">
        <is>
          <t>Fetched</t>
        </is>
      </c>
      <c r="K71" s="10" t="inlineStr">
        <is>
          <t>Marketing lead, non-resident / emigrant segment</t>
        </is>
      </c>
      <c r="L71" s="10" t="inlineStr">
        <is>
          <t>LinkedIn (named role); general partnerships email as backup</t>
        </is>
      </c>
      <c r="M71" s="10" t="inlineStr">
        <is>
          <t>Gold</t>
        </is>
      </c>
      <c r="N71" s="14">
        <f>INDEX(Settings!$B$4:$B$15,MATCH(M71,Settings!$A$4:$A$15,0))</f>
        <v/>
      </c>
      <c r="O71" s="15">
        <f>IF(E71="A",IF(I71&gt;=2022,Settings!$B$18,Settings!$B$19),IF(E71="B",Settings!$B$20,Settings!$B$21))+IF(F71="S",Settings!$B$22,0)</f>
        <v/>
      </c>
      <c r="P71" s="14">
        <f>N71*O71</f>
        <v/>
      </c>
      <c r="Q71" s="16">
        <f>P71*INDEX(Settings!$B$25:$B$27,MATCH(F71,Settings!$A$25:$A$27,0))</f>
        <v/>
      </c>
      <c r="R71" s="10" t="inlineStr">
        <is>
          <t>To contact</t>
        </is>
      </c>
      <c r="S71" s="10" t="inlineStr">
        <is>
          <t>Email 1 (template in sponsors/METHOD.md) + LinkedIn request on day 2</t>
        </is>
      </c>
      <c r="T71" s="10" t="inlineStr">
        <is>
          <t>2026-10-29</t>
        </is>
      </c>
      <c r="U71" s="10" t="inlineStr">
        <is>
          <t>Partner</t>
        </is>
      </c>
      <c r="V71" s="10" t="inlineStr">
        <is>
          <t>not assessed</t>
        </is>
      </c>
    </row>
    <row r="72">
      <c r="A72" s="10" t="inlineStr">
        <is>
          <t>S026</t>
        </is>
      </c>
      <c r="B72" s="11" t="inlineStr">
        <is>
          <t>Quinta de Faro</t>
        </is>
      </c>
      <c r="C72" s="10" t="inlineStr">
        <is>
          <t>Developer</t>
        </is>
      </c>
      <c r="D72" s="10" t="inlineStr">
        <is>
          <t>FR</t>
        </is>
      </c>
      <c r="E72" s="12" t="inlineStr">
        <is>
          <t>A</t>
        </is>
      </c>
      <c r="F72" s="10" t="inlineStr">
        <is>
          <t>M</t>
        </is>
      </c>
      <c r="G72" s="13" t="inlineStr">
        <is>
          <t>https://lusojornal.com/salao-do-imobiliario-e-do-investimento-portugues-muda-se-para-a-porte-de-champeret/</t>
        </is>
      </c>
      <c r="H72" s="10" t="inlineStr">
        <is>
          <t>Display ads on LusoJornal; project profile in Lusopress nº125</t>
        </is>
      </c>
      <c r="I72" s="10" t="n">
        <v>2024</v>
      </c>
      <c r="J72" s="10" t="inlineStr">
        <is>
          <t>Fetched</t>
        </is>
      </c>
      <c r="K72" s="10" t="inlineStr">
        <is>
          <t>Sales or marketing director</t>
        </is>
      </c>
      <c r="L72" s="10" t="inlineStr">
        <is>
          <t>LinkedIn (named role), then company email</t>
        </is>
      </c>
      <c r="M72" s="10" t="inlineStr">
        <is>
          <t>Campaign</t>
        </is>
      </c>
      <c r="N72" s="14">
        <f>INDEX(Settings!$B$4:$B$15,MATCH(M72,Settings!$A$4:$A$15,0))</f>
        <v/>
      </c>
      <c r="O72" s="15">
        <f>IF(E72="A",IF(I72&gt;=2022,Settings!$B$18,Settings!$B$19),IF(E72="B",Settings!$B$20,Settings!$B$21))+IF(F72="S",Settings!$B$22,0)</f>
        <v/>
      </c>
      <c r="P72" s="14">
        <f>N72*O72</f>
        <v/>
      </c>
      <c r="Q72" s="16">
        <f>P72*INDEX(Settings!$B$25:$B$27,MATCH(F72,Settings!$A$25:$A$27,0))</f>
        <v/>
      </c>
      <c r="R72" s="10" t="inlineStr">
        <is>
          <t>To contact</t>
        </is>
      </c>
      <c r="S72" s="10" t="inlineStr">
        <is>
          <t>Email 1 (template in sponsors/METHOD.md) + LinkedIn request on day 2</t>
        </is>
      </c>
      <c r="T72" s="10" t="inlineStr">
        <is>
          <t>2026-10-29</t>
        </is>
      </c>
      <c r="U72" s="10" t="inlineStr">
        <is>
          <t>Partner</t>
        </is>
      </c>
      <c r="V72" s="10" t="inlineStr">
        <is>
          <t>not assessed</t>
        </is>
      </c>
    </row>
    <row r="73">
      <c r="A73" s="10" t="inlineStr">
        <is>
          <t>S027</t>
        </is>
      </c>
      <c r="B73" s="11" t="inlineStr">
        <is>
          <t>Serip Group</t>
        </is>
      </c>
      <c r="C73" s="10" t="inlineStr">
        <is>
          <t>Developer / builder</t>
        </is>
      </c>
      <c r="D73" s="10" t="inlineStr">
        <is>
          <t>FR</t>
        </is>
      </c>
      <c r="E73" s="12" t="inlineStr">
        <is>
          <t>A</t>
        </is>
      </c>
      <c r="F73" s="10" t="inlineStr">
        <is>
          <t>M</t>
        </is>
      </c>
      <c r="G73" s="13" t="inlineStr">
        <is>
          <t>https://lusojornal.com/salao-do-imobiliario-e-do-investimento-portugues-muda-se-para-a-porte-de-champeret/</t>
        </is>
      </c>
      <c r="H73" s="10" t="inlineStr">
        <is>
          <t>Display ads on LusoJornal; promotional profile in Lusopress nº125 (Saint-Tropez builder with projects in Portugal)</t>
        </is>
      </c>
      <c r="I73" s="10" t="n">
        <v>2024</v>
      </c>
      <c r="J73" s="10" t="inlineStr">
        <is>
          <t>Fetched</t>
        </is>
      </c>
      <c r="K73" s="10" t="inlineStr">
        <is>
          <t>Sales or marketing director</t>
        </is>
      </c>
      <c r="L73" s="10" t="inlineStr">
        <is>
          <t>LinkedIn (named role), then company email</t>
        </is>
      </c>
      <c r="M73" s="10" t="inlineStr">
        <is>
          <t>Campaign</t>
        </is>
      </c>
      <c r="N73" s="14">
        <f>INDEX(Settings!$B$4:$B$15,MATCH(M73,Settings!$A$4:$A$15,0))</f>
        <v/>
      </c>
      <c r="O73" s="15">
        <f>IF(E73="A",IF(I73&gt;=2022,Settings!$B$18,Settings!$B$19),IF(E73="B",Settings!$B$20,Settings!$B$21))+IF(F73="S",Settings!$B$22,0)</f>
        <v/>
      </c>
      <c r="P73" s="14">
        <f>N73*O73</f>
        <v/>
      </c>
      <c r="Q73" s="16">
        <f>P73*INDEX(Settings!$B$25:$B$27,MATCH(F73,Settings!$A$25:$A$27,0))</f>
        <v/>
      </c>
      <c r="R73" s="10" t="inlineStr">
        <is>
          <t>To contact</t>
        </is>
      </c>
      <c r="S73" s="10" t="inlineStr">
        <is>
          <t>Email 1 (template in sponsors/METHOD.md) + LinkedIn request on day 2</t>
        </is>
      </c>
      <c r="T73" s="10" t="inlineStr">
        <is>
          <t>2026-10-29</t>
        </is>
      </c>
      <c r="U73" s="10" t="inlineStr">
        <is>
          <t>Partner</t>
        </is>
      </c>
      <c r="V73" s="10" t="inlineStr">
        <is>
          <t>not assessed</t>
        </is>
      </c>
    </row>
    <row r="74">
      <c r="A74" s="10" t="inlineStr">
        <is>
          <t>S028</t>
        </is>
      </c>
      <c r="B74" s="11" t="inlineStr">
        <is>
          <t>Vision Supra Partners</t>
        </is>
      </c>
      <c r="C74" s="10" t="inlineStr">
        <is>
          <t>Developer</t>
        </is>
      </c>
      <c r="D74" s="10" t="inlineStr">
        <is>
          <t>BR</t>
        </is>
      </c>
      <c r="E74" s="12" t="inlineStr">
        <is>
          <t>A</t>
        </is>
      </c>
      <c r="F74" s="10" t="inlineStr">
        <is>
          <t>M</t>
        </is>
      </c>
      <c r="G74" s="13" t="inlineStr">
        <is>
          <t>https://investnews.com.br/financas/entre-estrangeiros-brasileiros-lideram-busca-por-imoveis-de-luxo-em-pontos-nobres-de-portugal/amp/</t>
        </is>
      </c>
      <c r="H74" s="10" t="inlineStr">
        <is>
          <t>Launched a Sesimbra project with Brazilian influencers to reach Brazilian buyers</t>
        </is>
      </c>
      <c r="I74" s="10" t="n">
        <v>2024</v>
      </c>
      <c r="J74" s="10" t="inlineStr">
        <is>
          <t>Fetched</t>
        </is>
      </c>
      <c r="K74" s="10" t="inlineStr">
        <is>
          <t>Sales or marketing director</t>
        </is>
      </c>
      <c r="L74" s="10" t="inlineStr">
        <is>
          <t>LinkedIn (named role), then company email</t>
        </is>
      </c>
      <c r="M74" s="10" t="inlineStr">
        <is>
          <t>Campaign</t>
        </is>
      </c>
      <c r="N74" s="14">
        <f>INDEX(Settings!$B$4:$B$15,MATCH(M74,Settings!$A$4:$A$15,0))</f>
        <v/>
      </c>
      <c r="O74" s="15">
        <f>IF(E74="A",IF(I74&gt;=2022,Settings!$B$18,Settings!$B$19),IF(E74="B",Settings!$B$20,Settings!$B$21))+IF(F74="S",Settings!$B$22,0)</f>
        <v/>
      </c>
      <c r="P74" s="14">
        <f>N74*O74</f>
        <v/>
      </c>
      <c r="Q74" s="16">
        <f>P74*INDEX(Settings!$B$25:$B$27,MATCH(F74,Settings!$A$25:$A$27,0))</f>
        <v/>
      </c>
      <c r="R74" s="10" t="inlineStr">
        <is>
          <t>To contact</t>
        </is>
      </c>
      <c r="S74" s="10" t="inlineStr">
        <is>
          <t>Email 1 (template in sponsors/METHOD.md) + LinkedIn request on day 2</t>
        </is>
      </c>
      <c r="T74" s="10" t="inlineStr">
        <is>
          <t>2026-10-29</t>
        </is>
      </c>
      <c r="U74" s="10" t="inlineStr">
        <is>
          <t>Partner</t>
        </is>
      </c>
      <c r="V74" s="10" t="inlineStr">
        <is>
          <t>not assessed</t>
        </is>
      </c>
    </row>
    <row r="75">
      <c r="A75" s="10" t="inlineStr">
        <is>
          <t>S029</t>
        </is>
      </c>
      <c r="B75" s="11" t="inlineStr">
        <is>
          <t>Cafpi</t>
        </is>
      </c>
      <c r="C75" s="10" t="inlineStr">
        <is>
          <t>Credit broker (France)</t>
        </is>
      </c>
      <c r="D75" s="10" t="inlineStr">
        <is>
          <t>FR</t>
        </is>
      </c>
      <c r="E75" s="17" t="inlineStr">
        <is>
          <t>B</t>
        </is>
      </c>
      <c r="F75" s="10" t="inlineStr">
        <is>
          <t>L</t>
        </is>
      </c>
      <c r="G75" s="13" t="inlineStr">
        <is>
          <t>https://www.mysweetimmo.com/2019/12/19/le-courtier-cafpi-simplante-au-portugal/</t>
        </is>
      </c>
      <c r="H75" s="10" t="inlineStr">
        <is>
          <t>French broker that opened in Portugal to finance French buyers</t>
        </is>
      </c>
      <c r="I75" s="10" t="n">
        <v>2019</v>
      </c>
      <c r="J75" s="10" t="inlineStr">
        <is>
          <t>Search result</t>
        </is>
      </c>
      <c r="K75" s="10" t="inlineStr">
        <is>
          <t>Partnerships or marketing lead</t>
        </is>
      </c>
      <c r="L75" s="10" t="inlineStr">
        <is>
          <t>LinkedIn (named role); general partnerships email as backup</t>
        </is>
      </c>
      <c r="M75" s="10" t="inlineStr">
        <is>
          <t>Gold</t>
        </is>
      </c>
      <c r="N75" s="14">
        <f>INDEX(Settings!$B$4:$B$15,MATCH(M75,Settings!$A$4:$A$15,0))</f>
        <v/>
      </c>
      <c r="O75" s="15">
        <f>IF(E75="A",IF(I75&gt;=2022,Settings!$B$18,Settings!$B$19),IF(E75="B",Settings!$B$20,Settings!$B$21))+IF(F75="S",Settings!$B$22,0)</f>
        <v/>
      </c>
      <c r="P75" s="14">
        <f>N75*O75</f>
        <v/>
      </c>
      <c r="Q75" s="16">
        <f>P75*INDEX(Settings!$B$25:$B$27,MATCH(F75,Settings!$A$25:$A$27,0))</f>
        <v/>
      </c>
      <c r="R75" s="10" t="inlineStr">
        <is>
          <t>To contact</t>
        </is>
      </c>
      <c r="S75" s="10" t="inlineStr">
        <is>
          <t>Email 1 (template in sponsors/METHOD.md) + LinkedIn request on day 2</t>
        </is>
      </c>
      <c r="T75" s="10" t="inlineStr">
        <is>
          <t>2026-10-29</t>
        </is>
      </c>
      <c r="U75" s="10" t="inlineStr">
        <is>
          <t>Partner</t>
        </is>
      </c>
      <c r="V75" s="10" t="inlineStr">
        <is>
          <t>not assessed</t>
        </is>
      </c>
    </row>
    <row r="76">
      <c r="A76" s="10" t="inlineStr">
        <is>
          <t>S030</t>
        </is>
      </c>
      <c r="B76" s="11" t="inlineStr">
        <is>
          <t>Millennium bcp</t>
        </is>
      </c>
      <c r="C76" s="10" t="inlineStr">
        <is>
          <t>Bank</t>
        </is>
      </c>
      <c r="D76" s="10" t="inlineStr">
        <is>
          <t>FR, LU, CH</t>
        </is>
      </c>
      <c r="E76" s="17" t="inlineStr">
        <is>
          <t>B</t>
        </is>
      </c>
      <c r="F76" s="10" t="inlineStr">
        <is>
          <t>L</t>
        </is>
      </c>
      <c r="G76" s="13" t="inlineStr">
        <is>
          <t>https://ind.millenniumbcp.pt/pt/Particulares/suamedida/utilisateurs-francais/Pages/REX_escolherMbcp.aspx</t>
        </is>
      </c>
      <c r="H76" s="10" t="inlineStr">
        <is>
          <t>French-language page for French users plus a section for Portuguese residents abroad</t>
        </is>
      </c>
      <c r="I76" s="10" t="n">
        <v>2026</v>
      </c>
      <c r="J76" s="10" t="inlineStr">
        <is>
          <t>Fetched</t>
        </is>
      </c>
      <c r="K76" s="10" t="inlineStr">
        <is>
          <t>Marketing lead, non-resident / emigrant segment</t>
        </is>
      </c>
      <c r="L76" s="10" t="inlineStr">
        <is>
          <t>Website: millenniumbcp.pt</t>
        </is>
      </c>
      <c r="M76" s="10" t="inlineStr">
        <is>
          <t>Gold</t>
        </is>
      </c>
      <c r="N76" s="14">
        <f>INDEX(Settings!$B$4:$B$15,MATCH(M76,Settings!$A$4:$A$15,0))</f>
        <v/>
      </c>
      <c r="O76" s="15">
        <f>IF(E76="A",IF(I76&gt;=2022,Settings!$B$18,Settings!$B$19),IF(E76="B",Settings!$B$20,Settings!$B$21))+IF(F76="S",Settings!$B$22,0)</f>
        <v/>
      </c>
      <c r="P76" s="14">
        <f>N76*O76</f>
        <v/>
      </c>
      <c r="Q76" s="16">
        <f>P76*INDEX(Settings!$B$25:$B$27,MATCH(F76,Settings!$A$25:$A$27,0))</f>
        <v/>
      </c>
      <c r="R76" s="10" t="inlineStr">
        <is>
          <t>To contact</t>
        </is>
      </c>
      <c r="S76" s="10" t="inlineStr">
        <is>
          <t>Email 1 (template in sponsors/METHOD.md) + LinkedIn request on day 2</t>
        </is>
      </c>
      <c r="T76" s="10" t="inlineStr">
        <is>
          <t>2026-10-29</t>
        </is>
      </c>
      <c r="U76" s="10" t="inlineStr">
        <is>
          <t>Partner</t>
        </is>
      </c>
      <c r="V76" s="10" t="inlineStr">
        <is>
          <t>not assessed</t>
        </is>
      </c>
    </row>
    <row r="77">
      <c r="A77" s="10" t="inlineStr">
        <is>
          <t>S031</t>
        </is>
      </c>
      <c r="B77" s="11" t="inlineStr">
        <is>
          <t>Novo Banco</t>
        </is>
      </c>
      <c r="C77" s="10" t="inlineStr">
        <is>
          <t>Bank</t>
        </is>
      </c>
      <c r="D77" s="10" t="inlineStr">
        <is>
          <t>FR, LU, CH</t>
        </is>
      </c>
      <c r="E77" s="17" t="inlineStr">
        <is>
          <t>B</t>
        </is>
      </c>
      <c r="F77" s="10" t="inlineStr">
        <is>
          <t>L</t>
        </is>
      </c>
      <c r="G77" s="13" t="inlineStr">
        <is>
          <t>https://lusopress.tv/wp-content/uploads/2025/12/Revista-142.pdf</t>
        </is>
      </c>
      <c r="H77" s="10" t="inlineStr">
        <is>
          <t>Now owned by France's BPCE (Lusopress, Dec 2025): natural angle for the French edition</t>
        </is>
      </c>
      <c r="I77" s="10" t="n">
        <v>2025</v>
      </c>
      <c r="J77" s="10" t="inlineStr">
        <is>
          <t>Fetched</t>
        </is>
      </c>
      <c r="K77" s="10" t="inlineStr">
        <is>
          <t>Marketing lead, non-resident / emigrant segment</t>
        </is>
      </c>
      <c r="L77" s="10" t="inlineStr">
        <is>
          <t>Website: novobanco.pt</t>
        </is>
      </c>
      <c r="M77" s="10" t="inlineStr">
        <is>
          <t>Gold</t>
        </is>
      </c>
      <c r="N77" s="14">
        <f>INDEX(Settings!$B$4:$B$15,MATCH(M77,Settings!$A$4:$A$15,0))</f>
        <v/>
      </c>
      <c r="O77" s="15">
        <f>IF(E77="A",IF(I77&gt;=2022,Settings!$B$18,Settings!$B$19),IF(E77="B",Settings!$B$20,Settings!$B$21))+IF(F77="S",Settings!$B$22,0)</f>
        <v/>
      </c>
      <c r="P77" s="14">
        <f>N77*O77</f>
        <v/>
      </c>
      <c r="Q77" s="16">
        <f>P77*INDEX(Settings!$B$25:$B$27,MATCH(F77,Settings!$A$25:$A$27,0))</f>
        <v/>
      </c>
      <c r="R77" s="10" t="inlineStr">
        <is>
          <t>To contact</t>
        </is>
      </c>
      <c r="S77" s="10" t="inlineStr">
        <is>
          <t>Email 1 (template in sponsors/METHOD.md) + LinkedIn request on day 2</t>
        </is>
      </c>
      <c r="T77" s="10" t="inlineStr">
        <is>
          <t>2026-10-29</t>
        </is>
      </c>
      <c r="U77" s="10" t="inlineStr">
        <is>
          <t>Partner</t>
        </is>
      </c>
      <c r="V77" s="10" t="inlineStr">
        <is>
          <t>not assessed</t>
        </is>
      </c>
    </row>
    <row r="78">
      <c r="A78" s="10" t="inlineStr">
        <is>
          <t>S032</t>
        </is>
      </c>
      <c r="B78" s="11" t="inlineStr">
        <is>
          <t>Banco Rendimento</t>
        </is>
      </c>
      <c r="C78" s="10" t="inlineStr">
        <is>
          <t>Bank / FX (Brazil)</t>
        </is>
      </c>
      <c r="D78" s="10" t="inlineStr">
        <is>
          <t>BR</t>
        </is>
      </c>
      <c r="E78" s="12" t="inlineStr">
        <is>
          <t>A</t>
        </is>
      </c>
      <c r="F78" s="10" t="inlineStr">
        <is>
          <t>M</t>
        </is>
      </c>
      <c r="G78" s="13" t="inlineStr">
        <is>
          <t>https://monitormercantil.com.br/mercado-imobili-rio-de-portugal-op-o-para-a-investidores-brasileiros/</t>
        </is>
      </c>
      <c r="H78" s="10" t="inlineStr">
        <is>
          <t>Partner of the Rio buyer event for Portuguese property</t>
        </is>
      </c>
      <c r="I78" s="10" t="n">
        <v>2018</v>
      </c>
      <c r="J78" s="10" t="inlineStr">
        <is>
          <t>Fetched</t>
        </is>
      </c>
      <c r="K78" s="10" t="inlineStr">
        <is>
          <t>Marketing lead, non-resident / emigrant segment</t>
        </is>
      </c>
      <c r="L78" s="10" t="inlineStr">
        <is>
          <t>LinkedIn (named role), then company email</t>
        </is>
      </c>
      <c r="M78" s="10" t="inlineStr">
        <is>
          <t>Silver</t>
        </is>
      </c>
      <c r="N78" s="14">
        <f>INDEX(Settings!$B$4:$B$15,MATCH(M78,Settings!$A$4:$A$15,0))</f>
        <v/>
      </c>
      <c r="O78" s="15">
        <f>IF(E78="A",IF(I78&gt;=2022,Settings!$B$18,Settings!$B$19),IF(E78="B",Settings!$B$20,Settings!$B$21))+IF(F78="S",Settings!$B$22,0)</f>
        <v/>
      </c>
      <c r="P78" s="14">
        <f>N78*O78</f>
        <v/>
      </c>
      <c r="Q78" s="16">
        <f>P78*INDEX(Settings!$B$25:$B$27,MATCH(F78,Settings!$A$25:$A$27,0))</f>
        <v/>
      </c>
      <c r="R78" s="10" t="inlineStr">
        <is>
          <t>To contact</t>
        </is>
      </c>
      <c r="S78" s="10" t="inlineStr">
        <is>
          <t>Email 1 (template in sponsors/METHOD.md) + LinkedIn request on day 2</t>
        </is>
      </c>
      <c r="T78" s="10" t="inlineStr">
        <is>
          <t>2026-10-29</t>
        </is>
      </c>
      <c r="U78" s="10" t="inlineStr">
        <is>
          <t>Partner</t>
        </is>
      </c>
      <c r="V78" s="10" t="inlineStr">
        <is>
          <t>not assessed</t>
        </is>
      </c>
    </row>
    <row r="79">
      <c r="A79" s="10" t="inlineStr">
        <is>
          <t>S033</t>
        </is>
      </c>
      <c r="B79" s="11" t="inlineStr">
        <is>
          <t>Bordr</t>
        </is>
      </c>
      <c r="C79" s="10" t="inlineStr">
        <is>
          <t>NIF / tax representative</t>
        </is>
      </c>
      <c r="D79" s="10" t="inlineStr">
        <is>
          <t>LU, FR, CH, BR</t>
        </is>
      </c>
      <c r="E79" s="12" t="inlineStr">
        <is>
          <t>A</t>
        </is>
      </c>
      <c r="F79" s="10" t="inlineStr">
        <is>
          <t>S</t>
        </is>
      </c>
      <c r="G79" s="13" t="inlineStr">
        <is>
          <t>https://www.eurodicas.com.br/comprar-casa-em-portugal/</t>
        </is>
      </c>
      <c r="H79" s="10" t="inlineStr">
        <is>
          <t>Referral code on Eurodicas</t>
        </is>
      </c>
      <c r="I79" s="10" t="n">
        <v>2026</v>
      </c>
      <c r="J79" s="10" t="inlineStr">
        <is>
          <t>Fetched</t>
        </is>
      </c>
      <c r="K79" s="10" t="inlineStr">
        <is>
          <t>Partnerships / affiliates manager</t>
        </is>
      </c>
      <c r="L79" s="10" t="inlineStr">
        <is>
          <t>Website: bordr.com</t>
        </is>
      </c>
      <c r="M79" s="10" t="inlineStr">
        <is>
          <t>Affiliate</t>
        </is>
      </c>
      <c r="N79" s="14">
        <f>INDEX(Settings!$B$4:$B$15,MATCH(M79,Settings!$A$4:$A$15,0))</f>
        <v/>
      </c>
      <c r="O79" s="15">
        <f>IF(E79="A",IF(I79&gt;=2022,Settings!$B$18,Settings!$B$19),IF(E79="B",Settings!$B$20,Settings!$B$21))+IF(F79="S",Settings!$B$22,0)</f>
        <v/>
      </c>
      <c r="P79" s="14">
        <f>N79*O79</f>
        <v/>
      </c>
      <c r="Q79" s="16">
        <f>P79*INDEX(Settings!$B$25:$B$27,MATCH(F79,Settings!$A$25:$A$27,0))</f>
        <v/>
      </c>
      <c r="R79" s="10" t="inlineStr">
        <is>
          <t>To contact</t>
        </is>
      </c>
      <c r="S79" s="10" t="inlineStr">
        <is>
          <t>Email 1 (template in sponsors/METHOD.md) + LinkedIn request on day 2</t>
        </is>
      </c>
      <c r="T79" s="10" t="inlineStr">
        <is>
          <t>2026-10-30</t>
        </is>
      </c>
      <c r="U79" s="10" t="inlineStr">
        <is>
          <t>Partner</t>
        </is>
      </c>
      <c r="V79" s="10" t="inlineStr">
        <is>
          <t>not assessed</t>
        </is>
      </c>
    </row>
    <row r="80">
      <c r="A80" s="10" t="inlineStr">
        <is>
          <t>S034</t>
        </is>
      </c>
      <c r="B80" s="11" t="inlineStr">
        <is>
          <t>CCA Law Firm</t>
        </is>
      </c>
      <c r="C80" s="10" t="inlineStr">
        <is>
          <t>Law firm</t>
        </is>
      </c>
      <c r="D80" s="10" t="inlineStr">
        <is>
          <t>FR, BR</t>
        </is>
      </c>
      <c r="E80" s="12" t="inlineStr">
        <is>
          <t>A</t>
        </is>
      </c>
      <c r="F80" s="10" t="inlineStr">
        <is>
          <t>M</t>
        </is>
      </c>
      <c r="G80" s="13" t="inlineStr">
        <is>
          <t>https://www.idealista.pt/news/node/26913</t>
        </is>
      </c>
      <c r="H80" s="10" t="inlineStr">
        <is>
          <t>Exhibitor, Paris Portuguese property fair (2015)</t>
        </is>
      </c>
      <c r="I80" s="10" t="n">
        <v>2015</v>
      </c>
      <c r="J80" s="10" t="inlineStr">
        <is>
          <t>Fetched</t>
        </is>
      </c>
      <c r="K80" s="10" t="inlineStr">
        <is>
          <t>Managing partner or business development</t>
        </is>
      </c>
      <c r="L80" s="10" t="inlineStr">
        <is>
          <t>LinkedIn (named role), then company email</t>
        </is>
      </c>
      <c r="M80" s="10" t="inlineStr">
        <is>
          <t>Silver</t>
        </is>
      </c>
      <c r="N80" s="14">
        <f>INDEX(Settings!$B$4:$B$15,MATCH(M80,Settings!$A$4:$A$15,0))</f>
        <v/>
      </c>
      <c r="O80" s="15">
        <f>IF(E80="A",IF(I80&gt;=2022,Settings!$B$18,Settings!$B$19),IF(E80="B",Settings!$B$20,Settings!$B$21))+IF(F80="S",Settings!$B$22,0)</f>
        <v/>
      </c>
      <c r="P80" s="14">
        <f>N80*O80</f>
        <v/>
      </c>
      <c r="Q80" s="16">
        <f>P80*INDEX(Settings!$B$25:$B$27,MATCH(F80,Settings!$A$25:$A$27,0))</f>
        <v/>
      </c>
      <c r="R80" s="10" t="inlineStr">
        <is>
          <t>To contact</t>
        </is>
      </c>
      <c r="S80" s="10" t="inlineStr">
        <is>
          <t>Email 1 (template in sponsors/METHOD.md) + LinkedIn request on day 2</t>
        </is>
      </c>
      <c r="T80" s="10" t="inlineStr">
        <is>
          <t>2026-10-30</t>
        </is>
      </c>
      <c r="U80" s="10" t="inlineStr">
        <is>
          <t>Partner</t>
        </is>
      </c>
      <c r="V80" s="10" t="inlineStr">
        <is>
          <t>not assessed</t>
        </is>
      </c>
    </row>
    <row r="81">
      <c r="A81" s="10" t="inlineStr">
        <is>
          <t>S035</t>
        </is>
      </c>
      <c r="B81" s="11" t="inlineStr">
        <is>
          <t>Fidelidade</t>
        </is>
      </c>
      <c r="C81" s="10" t="inlineStr">
        <is>
          <t>Insurance</t>
        </is>
      </c>
      <c r="D81" s="10" t="inlineStr">
        <is>
          <t>FR, LU, CH</t>
        </is>
      </c>
      <c r="E81" s="12" t="inlineStr">
        <is>
          <t>A</t>
        </is>
      </c>
      <c r="F81" s="10" t="inlineStr">
        <is>
          <t>L</t>
        </is>
      </c>
      <c r="G81" s="13" t="inlineStr">
        <is>
          <t>https://lusopress.tv/wp-content/uploads/2023/07/lusopress_125.pdf</t>
        </is>
      </c>
      <c r="H81" s="10" t="inlineStr">
        <is>
          <t>Named supporter of Academia do Bacalhau de Paris (Lusopress nº125)</t>
        </is>
      </c>
      <c r="I81" s="10" t="n">
        <v>2023</v>
      </c>
      <c r="J81" s="10" t="inlineStr">
        <is>
          <t>Fetched</t>
        </is>
      </c>
      <c r="K81" s="10" t="inlineStr">
        <is>
          <t>Marketing lead, retail</t>
        </is>
      </c>
      <c r="L81" s="10" t="inlineStr">
        <is>
          <t>LinkedIn (named role); general partnerships email as backup</t>
        </is>
      </c>
      <c r="M81" s="10" t="inlineStr">
        <is>
          <t>Silver</t>
        </is>
      </c>
      <c r="N81" s="14">
        <f>INDEX(Settings!$B$4:$B$15,MATCH(M81,Settings!$A$4:$A$15,0))</f>
        <v/>
      </c>
      <c r="O81" s="15">
        <f>IF(E81="A",IF(I81&gt;=2022,Settings!$B$18,Settings!$B$19),IF(E81="B",Settings!$B$20,Settings!$B$21))+IF(F81="S",Settings!$B$22,0)</f>
        <v/>
      </c>
      <c r="P81" s="14">
        <f>N81*O81</f>
        <v/>
      </c>
      <c r="Q81" s="16">
        <f>P81*INDEX(Settings!$B$25:$B$27,MATCH(F81,Settings!$A$25:$A$27,0))</f>
        <v/>
      </c>
      <c r="R81" s="10" t="inlineStr">
        <is>
          <t>To contact</t>
        </is>
      </c>
      <c r="S81" s="10" t="inlineStr">
        <is>
          <t>Email 1 (template in sponsors/METHOD.md) + LinkedIn request on day 2</t>
        </is>
      </c>
      <c r="T81" s="10" t="inlineStr">
        <is>
          <t>2026-10-30</t>
        </is>
      </c>
      <c r="U81" s="10" t="inlineStr">
        <is>
          <t>Partner</t>
        </is>
      </c>
      <c r="V81" s="10" t="inlineStr">
        <is>
          <t>not assessed</t>
        </is>
      </c>
    </row>
    <row r="82">
      <c r="A82" s="10" t="inlineStr">
        <is>
          <t>S036</t>
        </is>
      </c>
      <c r="B82" s="11" t="inlineStr">
        <is>
          <t>Império (Ageas Portugal)</t>
        </is>
      </c>
      <c r="C82" s="10" t="inlineStr">
        <is>
          <t>Insurance</t>
        </is>
      </c>
      <c r="D82" s="10" t="inlineStr">
        <is>
          <t>FR</t>
        </is>
      </c>
      <c r="E82" s="12" t="inlineStr">
        <is>
          <t>A</t>
        </is>
      </c>
      <c r="F82" s="10" t="inlineStr">
        <is>
          <t>L</t>
        </is>
      </c>
      <c r="G82" s="13" t="inlineStr">
        <is>
          <t>https://lusopress.tv/wp-content/uploads/2023/07/lusopress_125.pdf</t>
        </is>
      </c>
      <c r="H82" s="10" t="inlineStr">
        <is>
          <t>Supporter; covered gala costs for a Paris community event (Lusopress nº125)</t>
        </is>
      </c>
      <c r="I82" s="10" t="n">
        <v>2023</v>
      </c>
      <c r="J82" s="10" t="inlineStr">
        <is>
          <t>Fetched</t>
        </is>
      </c>
      <c r="K82" s="10" t="inlineStr">
        <is>
          <t>Marketing lead, retail</t>
        </is>
      </c>
      <c r="L82" s="10" t="inlineStr">
        <is>
          <t>LinkedIn (named role); general partnerships email as backup</t>
        </is>
      </c>
      <c r="M82" s="10" t="inlineStr">
        <is>
          <t>Silver</t>
        </is>
      </c>
      <c r="N82" s="14">
        <f>INDEX(Settings!$B$4:$B$15,MATCH(M82,Settings!$A$4:$A$15,0))</f>
        <v/>
      </c>
      <c r="O82" s="15">
        <f>IF(E82="A",IF(I82&gt;=2022,Settings!$B$18,Settings!$B$19),IF(E82="B",Settings!$B$20,Settings!$B$21))+IF(F82="S",Settings!$B$22,0)</f>
        <v/>
      </c>
      <c r="P82" s="14">
        <f>N82*O82</f>
        <v/>
      </c>
      <c r="Q82" s="16">
        <f>P82*INDEX(Settings!$B$25:$B$27,MATCH(F82,Settings!$A$25:$A$27,0))</f>
        <v/>
      </c>
      <c r="R82" s="10" t="inlineStr">
        <is>
          <t>To contact</t>
        </is>
      </c>
      <c r="S82" s="10" t="inlineStr">
        <is>
          <t>Email 1 (template in sponsors/METHOD.md) + LinkedIn request on day 2</t>
        </is>
      </c>
      <c r="T82" s="10" t="inlineStr">
        <is>
          <t>2026-10-30</t>
        </is>
      </c>
      <c r="U82" s="10" t="inlineStr">
        <is>
          <t>Partner</t>
        </is>
      </c>
      <c r="V82" s="10" t="inlineStr">
        <is>
          <t>not assessed</t>
        </is>
      </c>
    </row>
    <row r="83">
      <c r="A83" s="10" t="inlineStr">
        <is>
          <t>S037</t>
        </is>
      </c>
      <c r="B83" s="11" t="inlineStr">
        <is>
          <t>Martinez Echevarria &amp; Ferreira</t>
        </is>
      </c>
      <c r="C83" s="10" t="inlineStr">
        <is>
          <t>Law firm</t>
        </is>
      </c>
      <c r="D83" s="10" t="inlineStr">
        <is>
          <t>BR</t>
        </is>
      </c>
      <c r="E83" s="12" t="inlineStr">
        <is>
          <t>A</t>
        </is>
      </c>
      <c r="F83" s="10" t="inlineStr">
        <is>
          <t>M</t>
        </is>
      </c>
      <c r="G83" s="13" t="inlineStr">
        <is>
          <t>https://monitormercantil.com.br/mercado-imobili-rio-de-portugal-op-o-para-a-investidores-brasileiros/</t>
        </is>
      </c>
      <c r="H83" s="10" t="inlineStr">
        <is>
          <t>Partner of the Rio buyer event</t>
        </is>
      </c>
      <c r="I83" s="10" t="n">
        <v>2018</v>
      </c>
      <c r="J83" s="10" t="inlineStr">
        <is>
          <t>Fetched</t>
        </is>
      </c>
      <c r="K83" s="10" t="inlineStr">
        <is>
          <t>Managing partner or business development</t>
        </is>
      </c>
      <c r="L83" s="10" t="inlineStr">
        <is>
          <t>Website: martinezechevarria.com</t>
        </is>
      </c>
      <c r="M83" s="10" t="inlineStr">
        <is>
          <t>Silver</t>
        </is>
      </c>
      <c r="N83" s="14">
        <f>INDEX(Settings!$B$4:$B$15,MATCH(M83,Settings!$A$4:$A$15,0))</f>
        <v/>
      </c>
      <c r="O83" s="15">
        <f>IF(E83="A",IF(I83&gt;=2022,Settings!$B$18,Settings!$B$19),IF(E83="B",Settings!$B$20,Settings!$B$21))+IF(F83="S",Settings!$B$22,0)</f>
        <v/>
      </c>
      <c r="P83" s="14">
        <f>N83*O83</f>
        <v/>
      </c>
      <c r="Q83" s="16">
        <f>P83*INDEX(Settings!$B$25:$B$27,MATCH(F83,Settings!$A$25:$A$27,0))</f>
        <v/>
      </c>
      <c r="R83" s="10" t="inlineStr">
        <is>
          <t>To contact</t>
        </is>
      </c>
      <c r="S83" s="10" t="inlineStr">
        <is>
          <t>Email 1 (template in sponsors/METHOD.md) + LinkedIn request on day 2</t>
        </is>
      </c>
      <c r="T83" s="10" t="inlineStr">
        <is>
          <t>2026-10-30</t>
        </is>
      </c>
      <c r="U83" s="10" t="inlineStr">
        <is>
          <t>Partner</t>
        </is>
      </c>
      <c r="V83" s="10" t="inlineStr">
        <is>
          <t>not assessed</t>
        </is>
      </c>
    </row>
    <row r="84">
      <c r="A84" s="10" t="inlineStr">
        <is>
          <t>S038</t>
        </is>
      </c>
      <c r="B84" s="11" t="inlineStr">
        <is>
          <t>e-residence</t>
        </is>
      </c>
      <c r="C84" s="10" t="inlineStr">
        <is>
          <t>NIF / tax representative</t>
        </is>
      </c>
      <c r="D84" s="10" t="inlineStr">
        <is>
          <t>BR, FR</t>
        </is>
      </c>
      <c r="E84" s="12" t="inlineStr">
        <is>
          <t>A</t>
        </is>
      </c>
      <c r="F84" s="10" t="inlineStr">
        <is>
          <t>S</t>
        </is>
      </c>
      <c r="G84" s="13" t="inlineStr">
        <is>
          <t>https://www.eurodicas.com.br/comprar-casa-em-portugal/</t>
        </is>
      </c>
      <c r="H84" s="10" t="inlineStr">
        <is>
          <t>Referral link 'via=euro-dicas' on Eurodicas</t>
        </is>
      </c>
      <c r="I84" s="10" t="n">
        <v>2026</v>
      </c>
      <c r="J84" s="10" t="inlineStr">
        <is>
          <t>Fetched</t>
        </is>
      </c>
      <c r="K84" s="10" t="inlineStr">
        <is>
          <t>Partnerships / affiliates manager</t>
        </is>
      </c>
      <c r="L84" s="10" t="inlineStr">
        <is>
          <t>Phone or email from company website, then LinkedIn</t>
        </is>
      </c>
      <c r="M84" s="10" t="inlineStr">
        <is>
          <t>Affiliate</t>
        </is>
      </c>
      <c r="N84" s="14">
        <f>INDEX(Settings!$B$4:$B$15,MATCH(M84,Settings!$A$4:$A$15,0))</f>
        <v/>
      </c>
      <c r="O84" s="15">
        <f>IF(E84="A",IF(I84&gt;=2022,Settings!$B$18,Settings!$B$19),IF(E84="B",Settings!$B$20,Settings!$B$21))+IF(F84="S",Settings!$B$22,0)</f>
        <v/>
      </c>
      <c r="P84" s="14">
        <f>N84*O84</f>
        <v/>
      </c>
      <c r="Q84" s="16">
        <f>P84*INDEX(Settings!$B$25:$B$27,MATCH(F84,Settings!$A$25:$A$27,0))</f>
        <v/>
      </c>
      <c r="R84" s="10" t="inlineStr">
        <is>
          <t>To contact</t>
        </is>
      </c>
      <c r="S84" s="10" t="inlineStr">
        <is>
          <t>Email 1 (template in sponsors/METHOD.md) + LinkedIn request on day 2</t>
        </is>
      </c>
      <c r="T84" s="10" t="inlineStr">
        <is>
          <t>2026-10-30</t>
        </is>
      </c>
      <c r="U84" s="10" t="inlineStr">
        <is>
          <t>Partner</t>
        </is>
      </c>
      <c r="V84" s="10" t="inlineStr">
        <is>
          <t>not assessed</t>
        </is>
      </c>
    </row>
    <row r="85">
      <c r="A85" s="10" t="inlineStr">
        <is>
          <t>S039</t>
        </is>
      </c>
      <c r="B85" s="11" t="inlineStr">
        <is>
          <t>SEGURAJA</t>
        </is>
      </c>
      <c r="C85" s="10" t="inlineStr">
        <is>
          <t>Building materials / security</t>
        </is>
      </c>
      <c r="D85" s="10" t="inlineStr">
        <is>
          <t>FR</t>
        </is>
      </c>
      <c r="E85" s="12" t="inlineStr">
        <is>
          <t>A</t>
        </is>
      </c>
      <c r="F85" s="10" t="inlineStr">
        <is>
          <t>S</t>
        </is>
      </c>
      <c r="G85" s="13" t="inlineStr">
        <is>
          <t>https://lusopress.tv/wp-content/uploads/2023/07/lusopress_125.pdf</t>
        </is>
      </c>
      <c r="H85" s="10" t="inlineStr">
        <is>
          <t>Promotional profile in Lusopress nº125; Ponte de Lima and Antony (FR)</t>
        </is>
      </c>
      <c r="I85" s="10" t="n">
        <v>2023</v>
      </c>
      <c r="J85" s="10" t="inlineStr">
        <is>
          <t>Fetched</t>
        </is>
      </c>
      <c r="K85" s="10" t="inlineStr">
        <is>
          <t>Owner or marketing lead</t>
        </is>
      </c>
      <c r="L85" s="10" t="inlineStr">
        <is>
          <t>Phone or email from company website, then LinkedIn</t>
        </is>
      </c>
      <c r="M85" s="10" t="inlineStr">
        <is>
          <t>Bronze</t>
        </is>
      </c>
      <c r="N85" s="14">
        <f>INDEX(Settings!$B$4:$B$15,MATCH(M85,Settings!$A$4:$A$15,0))</f>
        <v/>
      </c>
      <c r="O85" s="15">
        <f>IF(E85="A",IF(I85&gt;=2022,Settings!$B$18,Settings!$B$19),IF(E85="B",Settings!$B$20,Settings!$B$21))+IF(F85="S",Settings!$B$22,0)</f>
        <v/>
      </c>
      <c r="P85" s="14">
        <f>N85*O85</f>
        <v/>
      </c>
      <c r="Q85" s="16">
        <f>P85*INDEX(Settings!$B$25:$B$27,MATCH(F85,Settings!$A$25:$A$27,0))</f>
        <v/>
      </c>
      <c r="R85" s="10" t="inlineStr">
        <is>
          <t>To contact</t>
        </is>
      </c>
      <c r="S85" s="10" t="inlineStr">
        <is>
          <t>Email 1 (template in sponsors/METHOD.md) + LinkedIn request on day 2</t>
        </is>
      </c>
      <c r="T85" s="10" t="inlineStr">
        <is>
          <t>2026-10-30</t>
        </is>
      </c>
      <c r="U85" s="10" t="inlineStr">
        <is>
          <t>Partner</t>
        </is>
      </c>
      <c r="V85" s="10" t="inlineStr">
        <is>
          <t>not assessed</t>
        </is>
      </c>
    </row>
    <row r="86">
      <c r="A86" s="10" t="inlineStr">
        <is>
          <t>S040</t>
        </is>
      </c>
      <c r="B86" s="11" t="inlineStr">
        <is>
          <t>ActivoBank</t>
        </is>
      </c>
      <c r="C86" s="10" t="inlineStr">
        <is>
          <t>Bank</t>
        </is>
      </c>
      <c r="D86" s="10" t="inlineStr">
        <is>
          <t>BR</t>
        </is>
      </c>
      <c r="E86" s="17" t="inlineStr">
        <is>
          <t>B</t>
        </is>
      </c>
      <c r="F86" s="10" t="inlineStr">
        <is>
          <t>M</t>
        </is>
      </c>
      <c r="G86" s="13" t="inlineStr">
        <is>
          <t>https://www.eurodicas.com.br/como-financiar-imovel-em-portugal/</t>
        </is>
      </c>
      <c r="H86" s="10" t="inlineStr">
        <is>
          <t>Listed (unpaid) in Eurodicas mortgage guide for Brazilians</t>
        </is>
      </c>
      <c r="I86" s="10" t="n">
        <v>2026</v>
      </c>
      <c r="J86" s="10" t="inlineStr">
        <is>
          <t>Fetched</t>
        </is>
      </c>
      <c r="K86" s="10" t="inlineStr">
        <is>
          <t>Marketing lead, non-resident / emigrant segment</t>
        </is>
      </c>
      <c r="L86" s="10" t="inlineStr">
        <is>
          <t>LinkedIn (named role), then company email</t>
        </is>
      </c>
      <c r="M86" s="10" t="inlineStr">
        <is>
          <t>Silver</t>
        </is>
      </c>
      <c r="N86" s="14">
        <f>INDEX(Settings!$B$4:$B$15,MATCH(M86,Settings!$A$4:$A$15,0))</f>
        <v/>
      </c>
      <c r="O86" s="15">
        <f>IF(E86="A",IF(I86&gt;=2022,Settings!$B$18,Settings!$B$19),IF(E86="B",Settings!$B$20,Settings!$B$21))+IF(F86="S",Settings!$B$22,0)</f>
        <v/>
      </c>
      <c r="P86" s="14">
        <f>N86*O86</f>
        <v/>
      </c>
      <c r="Q86" s="16">
        <f>P86*INDEX(Settings!$B$25:$B$27,MATCH(F86,Settings!$A$25:$A$27,0))</f>
        <v/>
      </c>
      <c r="R86" s="10" t="inlineStr">
        <is>
          <t>To contact</t>
        </is>
      </c>
      <c r="S86" s="10" t="inlineStr">
        <is>
          <t>Email 1 (template in sponsors/METHOD.md) + LinkedIn request on day 2</t>
        </is>
      </c>
      <c r="T86" s="10" t="inlineStr">
        <is>
          <t>2026-10-30</t>
        </is>
      </c>
      <c r="U86" s="10" t="inlineStr">
        <is>
          <t>Partner</t>
        </is>
      </c>
      <c r="V86" s="10" t="inlineStr">
        <is>
          <t>not assessed</t>
        </is>
      </c>
    </row>
    <row r="87">
      <c r="A87" s="10" t="inlineStr">
        <is>
          <t>S133</t>
        </is>
      </c>
      <c r="B87" s="11" t="inlineStr">
        <is>
          <t>BNI Europa (Banco de Negócios Internacional)</t>
        </is>
      </c>
      <c r="C87" s="10" t="inlineStr">
        <is>
          <t>Bank</t>
        </is>
      </c>
      <c r="D87" s="10" t="inlineStr">
        <is>
          <t>LU, FR, CH, BR, US, IL</t>
        </is>
      </c>
      <c r="E87" s="17" t="inlineStr">
        <is>
          <t>B</t>
        </is>
      </c>
      <c r="F87" s="10" t="inlineStr">
        <is>
          <t>M</t>
        </is>
      </c>
      <c r="G87" s="13" t="inlineStr">
        <is>
          <t>https://www.doutorfinancas.pt/wp-content/uploads/2025/12/IC-000042_.pdf</t>
        </is>
      </c>
      <c r="H87" s="10" t="inlineStr">
        <is>
          <t>Lender tied to Doutor Finanças' credit-intermediary contract (Banco de Portugal reg. 0000420, list of lenders, Dec 2025): works through intermediaries; own non-resident mortgage page not reachable from here, to confirm (prompt 13)</t>
        </is>
      </c>
      <c r="I87" s="10" t="n">
        <v>2025</v>
      </c>
      <c r="J87" s="10" t="inlineStr">
        <is>
          <t>Fetched</t>
        </is>
      </c>
      <c r="K87" s="10" t="inlineStr">
        <is>
          <t>Marketing lead, mortgages / intermediary channel</t>
        </is>
      </c>
      <c r="L87" s="10" t="inlineStr">
        <is>
          <t>LinkedIn (named role), then company email</t>
        </is>
      </c>
      <c r="M87" s="10" t="inlineStr">
        <is>
          <t>Silver</t>
        </is>
      </c>
      <c r="N87" s="14">
        <f>INDEX(Settings!$B$4:$B$15,MATCH(M87,Settings!$A$4:$A$15,0))</f>
        <v/>
      </c>
      <c r="O87" s="15">
        <f>IF(E87="A",IF(I87&gt;=2022,Settings!$B$18,Settings!$B$19),IF(E87="B",Settings!$B$20,Settings!$B$21))+IF(F87="S",Settings!$B$22,0)</f>
        <v/>
      </c>
      <c r="P87" s="14">
        <f>N87*O87</f>
        <v/>
      </c>
      <c r="Q87" s="16">
        <f>P87*INDEX(Settings!$B$25:$B$27,MATCH(F87,Settings!$A$25:$A$27,0))</f>
        <v/>
      </c>
      <c r="R87" s="10" t="inlineStr">
        <is>
          <t>To research</t>
        </is>
      </c>
      <c r="S87" s="10" t="inlineStr">
        <is>
          <t>Find the non-resident mortgage page, then Email 1</t>
        </is>
      </c>
      <c r="T87" s="10" t="inlineStr">
        <is>
          <t>2026-11-09</t>
        </is>
      </c>
      <c r="U87" s="10" t="inlineStr">
        <is>
          <t>Partner</t>
        </is>
      </c>
      <c r="V87" s="10" t="inlineStr">
        <is>
          <t>not assessed</t>
        </is>
      </c>
    </row>
    <row r="88">
      <c r="A88" s="10" t="inlineStr">
        <is>
          <t>S132</t>
        </is>
      </c>
      <c r="B88" s="11" t="inlineStr">
        <is>
          <t>Banco BIC Português</t>
        </is>
      </c>
      <c r="C88" s="10" t="inlineStr">
        <is>
          <t>Bank</t>
        </is>
      </c>
      <c r="D88" s="10" t="inlineStr">
        <is>
          <t>LU, FR, CH, BR, US, IL</t>
        </is>
      </c>
      <c r="E88" s="17" t="inlineStr">
        <is>
          <t>B</t>
        </is>
      </c>
      <c r="F88" s="10" t="inlineStr">
        <is>
          <t>M</t>
        </is>
      </c>
      <c r="G88" s="13" t="inlineStr">
        <is>
          <t>https://www.doutorfinancas.pt/wp-content/uploads/2025/12/IC-000042_.pdf</t>
        </is>
      </c>
      <c r="H88" s="10" t="inlineStr">
        <is>
          <t>Lender tied to Doutor Finanças' credit-intermediary contract (Banco de Portugal reg. 0000420, list of lenders, Dec 2025): works through intermediaries; own non-resident mortgage page not reachable from here, to confirm (prompt 13); check whether it now belongs to ABANCA (S001)</t>
        </is>
      </c>
      <c r="I88" s="10" t="n">
        <v>2025</v>
      </c>
      <c r="J88" s="10" t="inlineStr">
        <is>
          <t>Fetched</t>
        </is>
      </c>
      <c r="K88" s="10" t="inlineStr">
        <is>
          <t>Marketing lead, mortgages / intermediary channel</t>
        </is>
      </c>
      <c r="L88" s="10" t="inlineStr">
        <is>
          <t>LinkedIn (named role), then company email</t>
        </is>
      </c>
      <c r="M88" s="10" t="inlineStr">
        <is>
          <t>Silver</t>
        </is>
      </c>
      <c r="N88" s="14">
        <f>INDEX(Settings!$B$4:$B$15,MATCH(M88,Settings!$A$4:$A$15,0))</f>
        <v/>
      </c>
      <c r="O88" s="15">
        <f>IF(E88="A",IF(I88&gt;=2022,Settings!$B$18,Settings!$B$19),IF(E88="B",Settings!$B$20,Settings!$B$21))+IF(F88="S",Settings!$B$22,0)</f>
        <v/>
      </c>
      <c r="P88" s="14">
        <f>N88*O88</f>
        <v/>
      </c>
      <c r="Q88" s="16">
        <f>P88*INDEX(Settings!$B$25:$B$27,MATCH(F88,Settings!$A$25:$A$27,0))</f>
        <v/>
      </c>
      <c r="R88" s="10" t="inlineStr">
        <is>
          <t>To research</t>
        </is>
      </c>
      <c r="S88" s="10" t="inlineStr">
        <is>
          <t>Find the non-resident mortgage page, then Email 1</t>
        </is>
      </c>
      <c r="T88" s="10" t="inlineStr">
        <is>
          <t>2026-11-09</t>
        </is>
      </c>
      <c r="U88" s="10" t="inlineStr">
        <is>
          <t>Partner</t>
        </is>
      </c>
      <c r="V88" s="10" t="inlineStr">
        <is>
          <t>not assessed</t>
        </is>
      </c>
    </row>
    <row r="89">
      <c r="A89" s="10" t="inlineStr">
        <is>
          <t>S041</t>
        </is>
      </c>
      <c r="B89" s="11" t="inlineStr">
        <is>
          <t>Banco CTT</t>
        </is>
      </c>
      <c r="C89" s="10" t="inlineStr">
        <is>
          <t>Bank</t>
        </is>
      </c>
      <c r="D89" s="10" t="inlineStr">
        <is>
          <t>BR</t>
        </is>
      </c>
      <c r="E89" s="17" t="inlineStr">
        <is>
          <t>B</t>
        </is>
      </c>
      <c r="F89" s="10" t="inlineStr">
        <is>
          <t>M</t>
        </is>
      </c>
      <c r="G89" s="13" t="inlineStr">
        <is>
          <t>https://www.eurodicas.com.br/como-financiar-imovel-em-portugal/</t>
        </is>
      </c>
      <c r="H89" s="10" t="inlineStr">
        <is>
          <t>Listed (unpaid) in Eurodicas mortgage guide for Brazilians</t>
        </is>
      </c>
      <c r="I89" s="10" t="n">
        <v>2026</v>
      </c>
      <c r="J89" s="10" t="inlineStr">
        <is>
          <t>Fetched</t>
        </is>
      </c>
      <c r="K89" s="10" t="inlineStr">
        <is>
          <t>Marketing lead, non-resident / emigrant segment</t>
        </is>
      </c>
      <c r="L89" s="10" t="inlineStr">
        <is>
          <t>LinkedIn (named role), then company email</t>
        </is>
      </c>
      <c r="M89" s="10" t="inlineStr">
        <is>
          <t>Silver</t>
        </is>
      </c>
      <c r="N89" s="14">
        <f>INDEX(Settings!$B$4:$B$15,MATCH(M89,Settings!$A$4:$A$15,0))</f>
        <v/>
      </c>
      <c r="O89" s="15">
        <f>IF(E89="A",IF(I89&gt;=2022,Settings!$B$18,Settings!$B$19),IF(E89="B",Settings!$B$20,Settings!$B$21))+IF(F89="S",Settings!$B$22,0)</f>
        <v/>
      </c>
      <c r="P89" s="14">
        <f>N89*O89</f>
        <v/>
      </c>
      <c r="Q89" s="16">
        <f>P89*INDEX(Settings!$B$25:$B$27,MATCH(F89,Settings!$A$25:$A$27,0))</f>
        <v/>
      </c>
      <c r="R89" s="10" t="inlineStr">
        <is>
          <t>To contact</t>
        </is>
      </c>
      <c r="S89" s="10" t="inlineStr">
        <is>
          <t>Email 1 + LinkedIn request on day 2</t>
        </is>
      </c>
      <c r="T89" s="10" t="inlineStr">
        <is>
          <t>2026-11-02</t>
        </is>
      </c>
      <c r="U89" s="10" t="inlineStr">
        <is>
          <t>Partner</t>
        </is>
      </c>
      <c r="V89" s="10" t="inlineStr">
        <is>
          <t>not assessed</t>
        </is>
      </c>
    </row>
    <row r="90">
      <c r="A90" s="10" t="inlineStr">
        <is>
          <t>S127</t>
        </is>
      </c>
      <c r="B90" s="11" t="inlineStr">
        <is>
          <t>BrightTax</t>
        </is>
      </c>
      <c r="C90" s="10" t="inlineStr">
        <is>
          <t>US expat tax</t>
        </is>
      </c>
      <c r="D90" s="10" t="inlineStr">
        <is>
          <t>US</t>
        </is>
      </c>
      <c r="E90" s="17" t="inlineStr">
        <is>
          <t>B</t>
        </is>
      </c>
      <c r="F90" s="10" t="inlineStr">
        <is>
          <t>M</t>
        </is>
      </c>
      <c r="G90" s="13" t="inlineStr">
        <is>
          <t>https://brighttax.com/blog/can-americans-buy-property-in-portugal</t>
        </is>
      </c>
      <c r="H90" s="10" t="inlineStr">
        <is>
          <t>Guide for Americans buying in Portugal; sells US expat tax filing (prompt 10 benchmark)</t>
        </is>
      </c>
      <c r="I90" s="10" t="n">
        <v>2026</v>
      </c>
      <c r="J90" s="10" t="inlineStr">
        <is>
          <t>Fetched</t>
        </is>
      </c>
      <c r="K90" s="10" t="inlineStr">
        <is>
          <t>Partnerships / affiliates manager</t>
        </is>
      </c>
      <c r="L90" s="10" t="inlineStr">
        <is>
          <t>Website: brighttax.com</t>
        </is>
      </c>
      <c r="M90" s="10" t="inlineStr">
        <is>
          <t>Silver</t>
        </is>
      </c>
      <c r="N90" s="14">
        <f>INDEX(Settings!$B$4:$B$15,MATCH(M90,Settings!$A$4:$A$15,0))</f>
        <v/>
      </c>
      <c r="O90" s="15">
        <f>IF(E90="A",IF(I90&gt;=2022,Settings!$B$18,Settings!$B$19),IF(E90="B",Settings!$B$20,Settings!$B$21))+IF(F90="S",Settings!$B$22,0)</f>
        <v/>
      </c>
      <c r="P90" s="14">
        <f>N90*O90</f>
        <v/>
      </c>
      <c r="Q90" s="16">
        <f>P90*INDEX(Settings!$B$25:$B$27,MATCH(F90,Settings!$A$25:$A$27,0))</f>
        <v/>
      </c>
      <c r="R90" s="10" t="inlineStr">
        <is>
          <t>To contact</t>
        </is>
      </c>
      <c r="S90" s="10" t="inlineStr">
        <is>
          <t>Email 1 (template in sponsors/METHOD.md) + LinkedIn request on day 2</t>
        </is>
      </c>
      <c r="T90" s="10" t="inlineStr">
        <is>
          <t>2026-10-30</t>
        </is>
      </c>
      <c r="U90" s="10" t="inlineStr">
        <is>
          <t>Partner</t>
        </is>
      </c>
      <c r="V90" s="10" t="inlineStr">
        <is>
          <t>not assessed</t>
        </is>
      </c>
    </row>
    <row r="91">
      <c r="A91" s="10" t="inlineStr">
        <is>
          <t>S042</t>
        </is>
      </c>
      <c r="B91" s="11" t="inlineStr">
        <is>
          <t>ComparaJá</t>
        </is>
      </c>
      <c r="C91" s="10" t="inlineStr">
        <is>
          <t>Credit comparator / intermediary</t>
        </is>
      </c>
      <c r="D91" s="10" t="inlineStr">
        <is>
          <t>LU, FR, CH, BR</t>
        </is>
      </c>
      <c r="E91" s="17" t="inlineStr">
        <is>
          <t>B</t>
        </is>
      </c>
      <c r="F91" s="10" t="inlineStr">
        <is>
          <t>M</t>
        </is>
      </c>
      <c r="G91" s="13" t="inlineStr">
        <is>
          <t>https://www.comparaja.pt/credito-habitacao/emigrantes</t>
        </is>
      </c>
      <c r="H91" s="10" t="inlineStr">
        <is>
          <t>Dedicated emigrant mortgage page; registered credit intermediary paid by partner banks</t>
        </is>
      </c>
      <c r="I91" s="10" t="n">
        <v>2026</v>
      </c>
      <c r="J91" s="10" t="inlineStr">
        <is>
          <t>Fetched</t>
        </is>
      </c>
      <c r="K91" s="10" t="inlineStr">
        <is>
          <t>Partnerships or marketing lead</t>
        </is>
      </c>
      <c r="L91" s="10" t="inlineStr">
        <is>
          <t>LinkedIn (named role), then company email</t>
        </is>
      </c>
      <c r="M91" s="10" t="inlineStr">
        <is>
          <t>Silver</t>
        </is>
      </c>
      <c r="N91" s="14">
        <f>INDEX(Settings!$B$4:$B$15,MATCH(M91,Settings!$A$4:$A$15,0))</f>
        <v/>
      </c>
      <c r="O91" s="15">
        <f>IF(E91="A",IF(I91&gt;=2022,Settings!$B$18,Settings!$B$19),IF(E91="B",Settings!$B$20,Settings!$B$21))+IF(F91="S",Settings!$B$22,0)</f>
        <v/>
      </c>
      <c r="P91" s="14">
        <f>N91*O91</f>
        <v/>
      </c>
      <c r="Q91" s="16">
        <f>P91*INDEX(Settings!$B$25:$B$27,MATCH(F91,Settings!$A$25:$A$27,0))</f>
        <v/>
      </c>
      <c r="R91" s="10" t="inlineStr">
        <is>
          <t>To contact</t>
        </is>
      </c>
      <c r="S91" s="10" t="inlineStr">
        <is>
          <t>Email 1 + LinkedIn request on day 2</t>
        </is>
      </c>
      <c r="T91" s="10" t="inlineStr">
        <is>
          <t>2026-11-02</t>
        </is>
      </c>
      <c r="U91" s="10" t="inlineStr">
        <is>
          <t>Partner</t>
        </is>
      </c>
      <c r="V91" s="10" t="inlineStr">
        <is>
          <t>not assessed</t>
        </is>
      </c>
    </row>
    <row r="92">
      <c r="A92" s="10" t="inlineStr">
        <is>
          <t>S043</t>
        </is>
      </c>
      <c r="B92" s="11" t="inlineStr">
        <is>
          <t>Doutor Finanças</t>
        </is>
      </c>
      <c r="C92" s="10" t="inlineStr">
        <is>
          <t>Credit intermediary</t>
        </is>
      </c>
      <c r="D92" s="10" t="inlineStr">
        <is>
          <t>LU, FR, CH, BR</t>
        </is>
      </c>
      <c r="E92" s="17" t="inlineStr">
        <is>
          <t>B</t>
        </is>
      </c>
      <c r="F92" s="10" t="inlineStr">
        <is>
          <t>M</t>
        </is>
      </c>
      <c r="G92" s="13" t="inlineStr">
        <is>
          <t>https://www.doutorfinancas.pt/creditos/credito-habitacao/credito-habitacao-e-emigracao-o-que-deve-saber/</t>
        </is>
      </c>
      <c r="H92" s="10" t="inlineStr">
        <is>
          <t>Content aimed at emigrants seeking mortgages</t>
        </is>
      </c>
      <c r="I92" s="10" t="n">
        <v>2026</v>
      </c>
      <c r="J92" s="10" t="inlineStr">
        <is>
          <t>Search result</t>
        </is>
      </c>
      <c r="K92" s="10" t="inlineStr">
        <is>
          <t>Partnerships or marketing lead</t>
        </is>
      </c>
      <c r="L92" s="10" t="inlineStr">
        <is>
          <t>LinkedIn (named role), then company email</t>
        </is>
      </c>
      <c r="M92" s="10" t="inlineStr">
        <is>
          <t>Silver</t>
        </is>
      </c>
      <c r="N92" s="14">
        <f>INDEX(Settings!$B$4:$B$15,MATCH(M92,Settings!$A$4:$A$15,0))</f>
        <v/>
      </c>
      <c r="O92" s="15">
        <f>IF(E92="A",IF(I92&gt;=2022,Settings!$B$18,Settings!$B$19),IF(E92="B",Settings!$B$20,Settings!$B$21))+IF(F92="S",Settings!$B$22,0)</f>
        <v/>
      </c>
      <c r="P92" s="14">
        <f>N92*O92</f>
        <v/>
      </c>
      <c r="Q92" s="16">
        <f>P92*INDEX(Settings!$B$25:$B$27,MATCH(F92,Settings!$A$25:$A$27,0))</f>
        <v/>
      </c>
      <c r="R92" s="10" t="inlineStr">
        <is>
          <t>To contact</t>
        </is>
      </c>
      <c r="S92" s="10" t="inlineStr">
        <is>
          <t>Email 1 + LinkedIn request on day 2</t>
        </is>
      </c>
      <c r="T92" s="10" t="inlineStr">
        <is>
          <t>2026-11-02</t>
        </is>
      </c>
      <c r="U92" s="10" t="inlineStr">
        <is>
          <t>Partner</t>
        </is>
      </c>
      <c r="V92" s="10" t="inlineStr">
        <is>
          <t>not assessed</t>
        </is>
      </c>
    </row>
    <row r="93">
      <c r="A93" s="10" t="inlineStr">
        <is>
          <t>S129</t>
        </is>
      </c>
      <c r="B93" s="11" t="inlineStr">
        <is>
          <t>Golding &amp; Golding</t>
        </is>
      </c>
      <c r="C93" s="10" t="inlineStr">
        <is>
          <t>US international tax law</t>
        </is>
      </c>
      <c r="D93" s="10" t="inlineStr">
        <is>
          <t>US</t>
        </is>
      </c>
      <c r="E93" s="17" t="inlineStr">
        <is>
          <t>B</t>
        </is>
      </c>
      <c r="F93" s="10" t="inlineStr">
        <is>
          <t>S</t>
        </is>
      </c>
      <c r="G93" s="13" t="inlineStr">
        <is>
          <t>https://www.goldinglawyers.com/tax-tips-for-portugal-based-americans-u-s-citizen-expats/</t>
        </is>
      </c>
      <c r="H93" s="10" t="inlineStr">
        <is>
          <t>Tax tips for Portugal-based Americans (FBAR, FATCA) (prompt 10 benchmark)</t>
        </is>
      </c>
      <c r="I93" s="10" t="n">
        <v>2026</v>
      </c>
      <c r="J93" s="10" t="inlineStr">
        <is>
          <t>Search result</t>
        </is>
      </c>
      <c r="K93" s="10" t="inlineStr">
        <is>
          <t>Partnerships / affiliates manager</t>
        </is>
      </c>
      <c r="L93" s="10" t="inlineStr">
        <is>
          <t>Website: goldinglawyers.com</t>
        </is>
      </c>
      <c r="M93" s="10" t="inlineStr">
        <is>
          <t>Silver</t>
        </is>
      </c>
      <c r="N93" s="14">
        <f>INDEX(Settings!$B$4:$B$15,MATCH(M93,Settings!$A$4:$A$15,0))</f>
        <v/>
      </c>
      <c r="O93" s="15">
        <f>IF(E93="A",IF(I93&gt;=2022,Settings!$B$18,Settings!$B$19),IF(E93="B",Settings!$B$20,Settings!$B$21))+IF(F93="S",Settings!$B$22,0)</f>
        <v/>
      </c>
      <c r="P93" s="14">
        <f>N93*O93</f>
        <v/>
      </c>
      <c r="Q93" s="16">
        <f>P93*INDEX(Settings!$B$25:$B$27,MATCH(F93,Settings!$A$25:$A$27,0))</f>
        <v/>
      </c>
      <c r="R93" s="10" t="inlineStr">
        <is>
          <t>To contact</t>
        </is>
      </c>
      <c r="S93" s="10" t="inlineStr">
        <is>
          <t>Email 1 (template in sponsors/METHOD.md) + LinkedIn request on day 2</t>
        </is>
      </c>
      <c r="T93" s="10" t="inlineStr">
        <is>
          <t>2026-10-30</t>
        </is>
      </c>
      <c r="U93" s="10" t="inlineStr">
        <is>
          <t>Partner</t>
        </is>
      </c>
      <c r="V93" s="10" t="inlineStr">
        <is>
          <t>not assessed</t>
        </is>
      </c>
    </row>
    <row r="94">
      <c r="A94" s="10" t="inlineStr">
        <is>
          <t>S044</t>
        </is>
      </c>
      <c r="B94" s="11" t="inlineStr">
        <is>
          <t>GuestReady</t>
        </is>
      </c>
      <c r="C94" s="10" t="inlineStr">
        <is>
          <t>Rental management</t>
        </is>
      </c>
      <c r="D94" s="10" t="inlineStr">
        <is>
          <t>FR</t>
        </is>
      </c>
      <c r="E94" s="17" t="inlineStr">
        <is>
          <t>B</t>
        </is>
      </c>
      <c r="F94" s="10" t="inlineStr">
        <is>
          <t>M</t>
        </is>
      </c>
      <c r="G94" s="13" t="inlineStr">
        <is>
          <t>https://www.guestready.com/fr/conciergerie-airbnb/portugal/</t>
        </is>
      </c>
      <c r="H94" s="10" t="inlineStr">
        <is>
          <t>French page for Portugal rental management</t>
        </is>
      </c>
      <c r="I94" s="10" t="n">
        <v>2026</v>
      </c>
      <c r="J94" s="10" t="inlineStr">
        <is>
          <t>Search result</t>
        </is>
      </c>
      <c r="K94" s="10" t="inlineStr">
        <is>
          <t>Owner or marketing lead</t>
        </is>
      </c>
      <c r="L94" s="10" t="inlineStr">
        <is>
          <t>LinkedIn (named role), then company email</t>
        </is>
      </c>
      <c r="M94" s="10" t="inlineStr">
        <is>
          <t>Silver</t>
        </is>
      </c>
      <c r="N94" s="14">
        <f>INDEX(Settings!$B$4:$B$15,MATCH(M94,Settings!$A$4:$A$15,0))</f>
        <v/>
      </c>
      <c r="O94" s="15">
        <f>IF(E94="A",IF(I94&gt;=2022,Settings!$B$18,Settings!$B$19),IF(E94="B",Settings!$B$20,Settings!$B$21))+IF(F94="S",Settings!$B$22,0)</f>
        <v/>
      </c>
      <c r="P94" s="14">
        <f>N94*O94</f>
        <v/>
      </c>
      <c r="Q94" s="16">
        <f>P94*INDEX(Settings!$B$25:$B$27,MATCH(F94,Settings!$A$25:$A$27,0))</f>
        <v/>
      </c>
      <c r="R94" s="10" t="inlineStr">
        <is>
          <t>To contact</t>
        </is>
      </c>
      <c r="S94" s="10" t="inlineStr">
        <is>
          <t>Email 1 + LinkedIn request on day 2</t>
        </is>
      </c>
      <c r="T94" s="10" t="inlineStr">
        <is>
          <t>2026-11-02</t>
        </is>
      </c>
      <c r="U94" s="10" t="inlineStr">
        <is>
          <t>Partner</t>
        </is>
      </c>
      <c r="V94" s="10" t="inlineStr">
        <is>
          <t>not assessed</t>
        </is>
      </c>
    </row>
    <row r="95">
      <c r="A95" s="10" t="inlineStr">
        <is>
          <t>S131</t>
        </is>
      </c>
      <c r="B95" s="11" t="inlineStr">
        <is>
          <t>Just Arrived</t>
        </is>
      </c>
      <c r="C95" s="10" t="inlineStr">
        <is>
          <t>Expat services (Luxembourg)</t>
        </is>
      </c>
      <c r="D95" s="10" t="inlineStr">
        <is>
          <t>LU</t>
        </is>
      </c>
      <c r="E95" s="17" t="inlineStr">
        <is>
          <t>B</t>
        </is>
      </c>
      <c r="F95" s="10" t="inlineStr">
        <is>
          <t>S</t>
        </is>
      </c>
      <c r="G95" s="13" t="inlineStr">
        <is>
          <t>https://www.justarrived.lu/pt/</t>
        </is>
      </c>
      <c r="H95" s="10" t="inlineStr">
        <is>
          <t>Multilingual expat guide in PT/FR/EN for Luxembourg; partner-services model (prompt 10 benchmark)</t>
        </is>
      </c>
      <c r="I95" s="10" t="n">
        <v>2026</v>
      </c>
      <c r="J95" s="10" t="inlineStr">
        <is>
          <t>Fetched</t>
        </is>
      </c>
      <c r="K95" s="10" t="inlineStr">
        <is>
          <t>Partnerships / affiliates manager</t>
        </is>
      </c>
      <c r="L95" s="10" t="inlineStr">
        <is>
          <t>LinkedIn (named role), then company email</t>
        </is>
      </c>
      <c r="M95" s="10" t="inlineStr">
        <is>
          <t>Silver</t>
        </is>
      </c>
      <c r="N95" s="14">
        <f>INDEX(Settings!$B$4:$B$15,MATCH(M95,Settings!$A$4:$A$15,0))</f>
        <v/>
      </c>
      <c r="O95" s="15">
        <f>IF(E95="A",IF(I95&gt;=2022,Settings!$B$18,Settings!$B$19),IF(E95="B",Settings!$B$20,Settings!$B$21))+IF(F95="S",Settings!$B$22,0)</f>
        <v/>
      </c>
      <c r="P95" s="14">
        <f>N95*O95</f>
        <v/>
      </c>
      <c r="Q95" s="16">
        <f>P95*INDEX(Settings!$B$25:$B$27,MATCH(F95,Settings!$A$25:$A$27,0))</f>
        <v/>
      </c>
      <c r="R95" s="10" t="inlineStr">
        <is>
          <t>To contact</t>
        </is>
      </c>
      <c r="S95" s="10" t="inlineStr">
        <is>
          <t>Email 1 (template in sponsors/METHOD.md) + LinkedIn request on day 2</t>
        </is>
      </c>
      <c r="T95" s="10" t="inlineStr">
        <is>
          <t>2026-10-30</t>
        </is>
      </c>
      <c r="U95" s="10" t="inlineStr">
        <is>
          <t>Partner</t>
        </is>
      </c>
      <c r="V95" s="10" t="inlineStr">
        <is>
          <t>not assessed</t>
        </is>
      </c>
    </row>
    <row r="96">
      <c r="A96" s="10" t="inlineStr">
        <is>
          <t>S045</t>
        </is>
      </c>
      <c r="B96" s="11" t="inlineStr">
        <is>
          <t>LVP Advogados</t>
        </is>
      </c>
      <c r="C96" s="10" t="inlineStr">
        <is>
          <t>Law firm</t>
        </is>
      </c>
      <c r="D96" s="10" t="inlineStr">
        <is>
          <t>LU, FR, CH, BR</t>
        </is>
      </c>
      <c r="E96" s="17" t="inlineStr">
        <is>
          <t>B</t>
        </is>
      </c>
      <c r="F96" s="10" t="inlineStr">
        <is>
          <t>M</t>
        </is>
      </c>
      <c r="G96" s="13" t="inlineStr">
        <is>
          <t>https://www.lvpadvogados.com/pt</t>
        </is>
      </c>
      <c r="H96" s="10" t="inlineStr">
        <is>
          <t>Says it serves clients from 150+ countries investing in Portugal</t>
        </is>
      </c>
      <c r="I96" s="10" t="n">
        <v>2026</v>
      </c>
      <c r="J96" s="10" t="inlineStr">
        <is>
          <t>Search result</t>
        </is>
      </c>
      <c r="K96" s="10" t="inlineStr">
        <is>
          <t>Managing partner or business development</t>
        </is>
      </c>
      <c r="L96" s="10" t="inlineStr">
        <is>
          <t>Website: lvpadvogados.com</t>
        </is>
      </c>
      <c r="M96" s="10" t="inlineStr">
        <is>
          <t>Silver</t>
        </is>
      </c>
      <c r="N96" s="14">
        <f>INDEX(Settings!$B$4:$B$15,MATCH(M96,Settings!$A$4:$A$15,0))</f>
        <v/>
      </c>
      <c r="O96" s="15">
        <f>IF(E96="A",IF(I96&gt;=2022,Settings!$B$18,Settings!$B$19),IF(E96="B",Settings!$B$20,Settings!$B$21))+IF(F96="S",Settings!$B$22,0)</f>
        <v/>
      </c>
      <c r="P96" s="14">
        <f>N96*O96</f>
        <v/>
      </c>
      <c r="Q96" s="16">
        <f>P96*INDEX(Settings!$B$25:$B$27,MATCH(F96,Settings!$A$25:$A$27,0))</f>
        <v/>
      </c>
      <c r="R96" s="10" t="inlineStr">
        <is>
          <t>To contact</t>
        </is>
      </c>
      <c r="S96" s="10" t="inlineStr">
        <is>
          <t>Email 1 + LinkedIn request on day 2</t>
        </is>
      </c>
      <c r="T96" s="10" t="inlineStr">
        <is>
          <t>2026-11-02</t>
        </is>
      </c>
      <c r="U96" s="10" t="inlineStr">
        <is>
          <t>Partner</t>
        </is>
      </c>
      <c r="V96" s="10" t="inlineStr">
        <is>
          <t>not assessed</t>
        </is>
      </c>
    </row>
    <row r="97">
      <c r="A97" s="10" t="inlineStr">
        <is>
          <t>S126</t>
        </is>
      </c>
      <c r="B97" s="11" t="inlineStr">
        <is>
          <t>Remitly</t>
        </is>
      </c>
      <c r="C97" s="10" t="inlineStr">
        <is>
          <t>FX / transfers</t>
        </is>
      </c>
      <c r="D97" s="10" t="inlineStr">
        <is>
          <t>US</t>
        </is>
      </c>
      <c r="E97" s="17" t="inlineStr">
        <is>
          <t>B</t>
        </is>
      </c>
      <c r="F97" s="10" t="inlineStr">
        <is>
          <t>L</t>
        </is>
      </c>
      <c r="G97" s="13" t="inlineStr">
        <is>
          <t>https://www.remitly.com/blog/immigration/buying-property-in-portugal/</t>
        </is>
      </c>
      <c r="H97" s="10" t="inlineStr">
        <is>
          <t>Guide 'Buying property in Portugal as a foreigner or American' (prompt 10 benchmark); earns on transfers</t>
        </is>
      </c>
      <c r="I97" s="10" t="n">
        <v>2026</v>
      </c>
      <c r="J97" s="10" t="inlineStr">
        <is>
          <t>Fetched</t>
        </is>
      </c>
      <c r="K97" s="10" t="inlineStr">
        <is>
          <t>Partnerships / affiliates manager</t>
        </is>
      </c>
      <c r="L97" s="10" t="inlineStr">
        <is>
          <t>Website: remitly.com</t>
        </is>
      </c>
      <c r="M97" s="10" t="inlineStr">
        <is>
          <t>Silver</t>
        </is>
      </c>
      <c r="N97" s="14">
        <f>INDEX(Settings!$B$4:$B$15,MATCH(M97,Settings!$A$4:$A$15,0))</f>
        <v/>
      </c>
      <c r="O97" s="15">
        <f>IF(E97="A",IF(I97&gt;=2022,Settings!$B$18,Settings!$B$19),IF(E97="B",Settings!$B$20,Settings!$B$21))+IF(F97="S",Settings!$B$22,0)</f>
        <v/>
      </c>
      <c r="P97" s="14">
        <f>N97*O97</f>
        <v/>
      </c>
      <c r="Q97" s="16">
        <f>P97*INDEX(Settings!$B$25:$B$27,MATCH(F97,Settings!$A$25:$A$27,0))</f>
        <v/>
      </c>
      <c r="R97" s="10" t="inlineStr">
        <is>
          <t>To contact</t>
        </is>
      </c>
      <c r="S97" s="10" t="inlineStr">
        <is>
          <t>Email 1 (template in sponsors/METHOD.md) + LinkedIn request on day 2</t>
        </is>
      </c>
      <c r="T97" s="10" t="inlineStr">
        <is>
          <t>2026-10-30</t>
        </is>
      </c>
      <c r="U97" s="10" t="inlineStr">
        <is>
          <t>Partner</t>
        </is>
      </c>
      <c r="V97" s="10" t="inlineStr">
        <is>
          <t>not assessed</t>
        </is>
      </c>
    </row>
    <row r="98">
      <c r="A98" s="10" t="inlineStr">
        <is>
          <t>S046</t>
        </is>
      </c>
      <c r="B98" s="11" t="inlineStr">
        <is>
          <t>Smargiassi</t>
        </is>
      </c>
      <c r="C98" s="10" t="inlineStr">
        <is>
          <t>Law firm (Brazil)</t>
        </is>
      </c>
      <c r="D98" s="10" t="inlineStr">
        <is>
          <t>BR</t>
        </is>
      </c>
      <c r="E98" s="17" t="inlineStr">
        <is>
          <t>B</t>
        </is>
      </c>
      <c r="F98" s="10" t="inlineStr">
        <is>
          <t>M</t>
        </is>
      </c>
      <c r="G98" s="13" t="inlineStr">
        <is>
          <t>https://smargiassi.com.br/lp/portugal/</t>
        </is>
      </c>
      <c r="H98" s="10" t="inlineStr">
        <is>
          <t>Portugal landing page suggests paid campaigns: verify in Meta Ad Library</t>
        </is>
      </c>
      <c r="I98" s="10" t="n">
        <v>2026</v>
      </c>
      <c r="J98" s="10" t="inlineStr">
        <is>
          <t>Search result</t>
        </is>
      </c>
      <c r="K98" s="10" t="inlineStr">
        <is>
          <t>Managing partner or business development</t>
        </is>
      </c>
      <c r="L98" s="10" t="inlineStr">
        <is>
          <t>LinkedIn (named role), then company email</t>
        </is>
      </c>
      <c r="M98" s="10" t="inlineStr">
        <is>
          <t>Silver</t>
        </is>
      </c>
      <c r="N98" s="14">
        <f>INDEX(Settings!$B$4:$B$15,MATCH(M98,Settings!$A$4:$A$15,0))</f>
        <v/>
      </c>
      <c r="O98" s="15">
        <f>IF(E98="A",IF(I98&gt;=2022,Settings!$B$18,Settings!$B$19),IF(E98="B",Settings!$B$20,Settings!$B$21))+IF(F98="S",Settings!$B$22,0)</f>
        <v/>
      </c>
      <c r="P98" s="14">
        <f>N98*O98</f>
        <v/>
      </c>
      <c r="Q98" s="16">
        <f>P98*INDEX(Settings!$B$25:$B$27,MATCH(F98,Settings!$A$25:$A$27,0))</f>
        <v/>
      </c>
      <c r="R98" s="10" t="inlineStr">
        <is>
          <t>To contact</t>
        </is>
      </c>
      <c r="S98" s="10" t="inlineStr">
        <is>
          <t>Email 1 + LinkedIn request on day 2</t>
        </is>
      </c>
      <c r="T98" s="10" t="inlineStr">
        <is>
          <t>2026-11-02</t>
        </is>
      </c>
      <c r="U98" s="10" t="inlineStr">
        <is>
          <t>Partner</t>
        </is>
      </c>
      <c r="V98" s="10" t="inlineStr">
        <is>
          <t>not assessed</t>
        </is>
      </c>
    </row>
    <row r="99">
      <c r="A99" s="10" t="inlineStr">
        <is>
          <t>S047</t>
        </is>
      </c>
      <c r="B99" s="11" t="inlineStr">
        <is>
          <t>Solutis</t>
        </is>
      </c>
      <c r="C99" s="10" t="inlineStr">
        <is>
          <t>Credit broker (France)</t>
        </is>
      </c>
      <c r="D99" s="10" t="inlineStr">
        <is>
          <t>FR</t>
        </is>
      </c>
      <c r="E99" s="17" t="inlineStr">
        <is>
          <t>B</t>
        </is>
      </c>
      <c r="F99" s="10" t="inlineStr">
        <is>
          <t>M</t>
        </is>
      </c>
      <c r="G99" s="13" t="inlineStr">
        <is>
          <t>https://www.solutis.fr/investir-au-portugal.html</t>
        </is>
      </c>
      <c r="H99" s="10" t="inlineStr">
        <is>
          <t>Finances purchases in Portugal against French property; free eligibility study</t>
        </is>
      </c>
      <c r="I99" s="10" t="n">
        <v>2026</v>
      </c>
      <c r="J99" s="10" t="inlineStr">
        <is>
          <t>Fetched</t>
        </is>
      </c>
      <c r="K99" s="10" t="inlineStr">
        <is>
          <t>Partnerships or marketing lead</t>
        </is>
      </c>
      <c r="L99" s="10" t="inlineStr">
        <is>
          <t>LinkedIn (named role), then company email</t>
        </is>
      </c>
      <c r="M99" s="10" t="inlineStr">
        <is>
          <t>Silver</t>
        </is>
      </c>
      <c r="N99" s="14">
        <f>INDEX(Settings!$B$4:$B$15,MATCH(M99,Settings!$A$4:$A$15,0))</f>
        <v/>
      </c>
      <c r="O99" s="15">
        <f>IF(E99="A",IF(I99&gt;=2022,Settings!$B$18,Settings!$B$19),IF(E99="B",Settings!$B$20,Settings!$B$21))+IF(F99="S",Settings!$B$22,0)</f>
        <v/>
      </c>
      <c r="P99" s="14">
        <f>N99*O99</f>
        <v/>
      </c>
      <c r="Q99" s="16">
        <f>P99*INDEX(Settings!$B$25:$B$27,MATCH(F99,Settings!$A$25:$A$27,0))</f>
        <v/>
      </c>
      <c r="R99" s="10" t="inlineStr">
        <is>
          <t>To contact</t>
        </is>
      </c>
      <c r="S99" s="10" t="inlineStr">
        <is>
          <t>Email 1 + LinkedIn request on day 2</t>
        </is>
      </c>
      <c r="T99" s="10" t="inlineStr">
        <is>
          <t>2026-11-02</t>
        </is>
      </c>
      <c r="U99" s="10" t="inlineStr">
        <is>
          <t>Partner</t>
        </is>
      </c>
      <c r="V99" s="10" t="inlineStr">
        <is>
          <t>not assessed</t>
        </is>
      </c>
    </row>
    <row r="100">
      <c r="A100" s="10" t="inlineStr">
        <is>
          <t>S130</t>
        </is>
      </c>
      <c r="B100" s="11" t="inlineStr">
        <is>
          <t>Solutis</t>
        </is>
      </c>
      <c r="C100" s="10" t="inlineStr">
        <is>
          <t>Wealth management (France)</t>
        </is>
      </c>
      <c r="D100" s="10" t="inlineStr">
        <is>
          <t>FR</t>
        </is>
      </c>
      <c r="E100" s="17" t="inlineStr">
        <is>
          <t>B</t>
        </is>
      </c>
      <c r="F100" s="10" t="inlineStr">
        <is>
          <t>S</t>
        </is>
      </c>
      <c r="G100" s="13" t="inlineStr">
        <is>
          <t>https://www.solutis.fr/investir-au-portugal.html</t>
        </is>
      </c>
      <c r="H100" s="10" t="inlineStr">
        <is>
          <t>Guide 'Investir au Portugal' for French investors (prompt 10 benchmark)</t>
        </is>
      </c>
      <c r="I100" s="10" t="n">
        <v>2026</v>
      </c>
      <c r="J100" s="10" t="inlineStr">
        <is>
          <t>Fetched</t>
        </is>
      </c>
      <c r="K100" s="10" t="inlineStr">
        <is>
          <t>Partnerships / affiliates manager</t>
        </is>
      </c>
      <c r="L100" s="10" t="inlineStr">
        <is>
          <t>LinkedIn (named role), then company email</t>
        </is>
      </c>
      <c r="M100" s="10" t="inlineStr">
        <is>
          <t>Silver</t>
        </is>
      </c>
      <c r="N100" s="14">
        <f>INDEX(Settings!$B$4:$B$15,MATCH(M100,Settings!$A$4:$A$15,0))</f>
        <v/>
      </c>
      <c r="O100" s="15">
        <f>IF(E100="A",IF(I100&gt;=2022,Settings!$B$18,Settings!$B$19),IF(E100="B",Settings!$B$20,Settings!$B$21))+IF(F100="S",Settings!$B$22,0)</f>
        <v/>
      </c>
      <c r="P100" s="14">
        <f>N100*O100</f>
        <v/>
      </c>
      <c r="Q100" s="16">
        <f>P100*INDEX(Settings!$B$25:$B$27,MATCH(F100,Settings!$A$25:$A$27,0))</f>
        <v/>
      </c>
      <c r="R100" s="10" t="inlineStr">
        <is>
          <t>To contact</t>
        </is>
      </c>
      <c r="S100" s="10" t="inlineStr">
        <is>
          <t>Email 1 (template in sponsors/METHOD.md) + LinkedIn request on day 2</t>
        </is>
      </c>
      <c r="T100" s="10" t="inlineStr">
        <is>
          <t>2026-10-30</t>
        </is>
      </c>
      <c r="U100" s="10" t="inlineStr">
        <is>
          <t>Partner</t>
        </is>
      </c>
      <c r="V100" s="10" t="inlineStr">
        <is>
          <t>not assessed</t>
        </is>
      </c>
    </row>
    <row r="101">
      <c r="A101" s="10" t="inlineStr">
        <is>
          <t>S128</t>
        </is>
      </c>
      <c r="B101" s="11" t="inlineStr">
        <is>
          <t>Taxes for Expats</t>
        </is>
      </c>
      <c r="C101" s="10" t="inlineStr">
        <is>
          <t>US expat tax</t>
        </is>
      </c>
      <c r="D101" s="10" t="inlineStr">
        <is>
          <t>US</t>
        </is>
      </c>
      <c r="E101" s="17" t="inlineStr">
        <is>
          <t>B</t>
        </is>
      </c>
      <c r="F101" s="10" t="inlineStr">
        <is>
          <t>M</t>
        </is>
      </c>
      <c r="G101" s="13" t="inlineStr">
        <is>
          <t>https://www.taxesforexpats.com/country-guides/portugal/buying-property-in-portugal-as-an-american.html</t>
        </is>
      </c>
      <c r="H101" s="10" t="inlineStr">
        <is>
          <t>Guide on taxes, rules and process for Americans buying in Portugal (prompt 10 benchmark)</t>
        </is>
      </c>
      <c r="I101" s="10" t="n">
        <v>2026</v>
      </c>
      <c r="J101" s="10" t="inlineStr">
        <is>
          <t>Search result</t>
        </is>
      </c>
      <c r="K101" s="10" t="inlineStr">
        <is>
          <t>Partnerships / affiliates manager</t>
        </is>
      </c>
      <c r="L101" s="10" t="inlineStr">
        <is>
          <t>Website: taxesforexpats.com</t>
        </is>
      </c>
      <c r="M101" s="10" t="inlineStr">
        <is>
          <t>Silver</t>
        </is>
      </c>
      <c r="N101" s="14">
        <f>INDEX(Settings!$B$4:$B$15,MATCH(M101,Settings!$A$4:$A$15,0))</f>
        <v/>
      </c>
      <c r="O101" s="15">
        <f>IF(E101="A",IF(I101&gt;=2022,Settings!$B$18,Settings!$B$19),IF(E101="B",Settings!$B$20,Settings!$B$21))+IF(F101="S",Settings!$B$22,0)</f>
        <v/>
      </c>
      <c r="P101" s="14">
        <f>N101*O101</f>
        <v/>
      </c>
      <c r="Q101" s="16">
        <f>P101*INDEX(Settings!$B$25:$B$27,MATCH(F101,Settings!$A$25:$A$27,0))</f>
        <v/>
      </c>
      <c r="R101" s="10" t="inlineStr">
        <is>
          <t>To contact</t>
        </is>
      </c>
      <c r="S101" s="10" t="inlineStr">
        <is>
          <t>Email 1 (template in sponsors/METHOD.md) + LinkedIn request on day 2</t>
        </is>
      </c>
      <c r="T101" s="10" t="inlineStr">
        <is>
          <t>2026-10-30</t>
        </is>
      </c>
      <c r="U101" s="10" t="inlineStr">
        <is>
          <t>Partner</t>
        </is>
      </c>
      <c r="V101" s="10" t="inlineStr">
        <is>
          <t>not assessed</t>
        </is>
      </c>
    </row>
    <row r="102">
      <c r="A102" s="10" t="inlineStr">
        <is>
          <t>S048</t>
        </is>
      </c>
      <c r="B102" s="11" t="inlineStr">
        <is>
          <t>UCI</t>
        </is>
      </c>
      <c r="C102" s="10" t="inlineStr">
        <is>
          <t>Mortgage lender</t>
        </is>
      </c>
      <c r="D102" s="10" t="inlineStr">
        <is>
          <t>BR, FR</t>
        </is>
      </c>
      <c r="E102" s="17" t="inlineStr">
        <is>
          <t>B</t>
        </is>
      </c>
      <c r="F102" s="10" t="inlineStr">
        <is>
          <t>M</t>
        </is>
      </c>
      <c r="G102" s="13" t="inlineStr">
        <is>
          <t>https://www.eurodicas.com.br/como-financiar-imovel-em-portugal/</t>
        </is>
      </c>
      <c r="H102" s="10" t="inlineStr">
        <is>
          <t>Listed (unpaid) in Eurodicas mortgage guide for Brazilians</t>
        </is>
      </c>
      <c r="I102" s="10" t="n">
        <v>2026</v>
      </c>
      <c r="J102" s="10" t="inlineStr">
        <is>
          <t>Fetched</t>
        </is>
      </c>
      <c r="K102" s="10" t="inlineStr">
        <is>
          <t>Marketing lead, non-resident / emigrant segment</t>
        </is>
      </c>
      <c r="L102" s="10" t="inlineStr">
        <is>
          <t>LinkedIn (named role), then company email</t>
        </is>
      </c>
      <c r="M102" s="10" t="inlineStr">
        <is>
          <t>Silver</t>
        </is>
      </c>
      <c r="N102" s="14">
        <f>INDEX(Settings!$B$4:$B$15,MATCH(M102,Settings!$A$4:$A$15,0))</f>
        <v/>
      </c>
      <c r="O102" s="15">
        <f>IF(E102="A",IF(I102&gt;=2022,Settings!$B$18,Settings!$B$19),IF(E102="B",Settings!$B$20,Settings!$B$21))+IF(F102="S",Settings!$B$22,0)</f>
        <v/>
      </c>
      <c r="P102" s="14">
        <f>N102*O102</f>
        <v/>
      </c>
      <c r="Q102" s="16">
        <f>P102*INDEX(Settings!$B$25:$B$27,MATCH(F102,Settings!$A$25:$A$27,0))</f>
        <v/>
      </c>
      <c r="R102" s="10" t="inlineStr">
        <is>
          <t>To contact</t>
        </is>
      </c>
      <c r="S102" s="10" t="inlineStr">
        <is>
          <t>Email 1 + LinkedIn request on day 2</t>
        </is>
      </c>
      <c r="T102" s="10" t="inlineStr">
        <is>
          <t>2026-11-02</t>
        </is>
      </c>
      <c r="U102" s="10" t="inlineStr">
        <is>
          <t>Partner</t>
        </is>
      </c>
      <c r="V102" s="10" t="inlineStr">
        <is>
          <t>not assessed</t>
        </is>
      </c>
    </row>
    <row r="103">
      <c r="A103" s="10" t="inlineStr">
        <is>
          <t>S049</t>
        </is>
      </c>
      <c r="B103" s="11" t="inlineStr">
        <is>
          <t>Verspieren Portugal</t>
        </is>
      </c>
      <c r="C103" s="10" t="inlineStr">
        <is>
          <t>Insurance broker</t>
        </is>
      </c>
      <c r="D103" s="10" t="inlineStr">
        <is>
          <t>FR</t>
        </is>
      </c>
      <c r="E103" s="17" t="inlineStr">
        <is>
          <t>B</t>
        </is>
      </c>
      <c r="F103" s="10" t="inlineStr">
        <is>
          <t>M</t>
        </is>
      </c>
      <c r="G103" s="13" t="inlineStr">
        <is>
          <t>https://www.verspieren.com/sites/default/files/2019-11/Communique_Presse_Lancement_Verspieren%20Portugal.pdf</t>
        </is>
      </c>
      <c r="H103" s="10" t="inlineStr">
        <is>
          <t>French broker launched in Portugal</t>
        </is>
      </c>
      <c r="I103" s="10" t="n">
        <v>2019</v>
      </c>
      <c r="J103" s="10" t="inlineStr">
        <is>
          <t>Search result</t>
        </is>
      </c>
      <c r="K103" s="10" t="inlineStr">
        <is>
          <t>Marketing lead, retail</t>
        </is>
      </c>
      <c r="L103" s="10" t="inlineStr">
        <is>
          <t>LinkedIn (named role), then company email</t>
        </is>
      </c>
      <c r="M103" s="10" t="inlineStr">
        <is>
          <t>Silver</t>
        </is>
      </c>
      <c r="N103" s="14">
        <f>INDEX(Settings!$B$4:$B$15,MATCH(M103,Settings!$A$4:$A$15,0))</f>
        <v/>
      </c>
      <c r="O103" s="15">
        <f>IF(E103="A",IF(I103&gt;=2022,Settings!$B$18,Settings!$B$19),IF(E103="B",Settings!$B$20,Settings!$B$21))+IF(F103="S",Settings!$B$22,0)</f>
        <v/>
      </c>
      <c r="P103" s="14">
        <f>N103*O103</f>
        <v/>
      </c>
      <c r="Q103" s="16">
        <f>P103*INDEX(Settings!$B$25:$B$27,MATCH(F103,Settings!$A$25:$A$27,0))</f>
        <v/>
      </c>
      <c r="R103" s="10" t="inlineStr">
        <is>
          <t>To contact</t>
        </is>
      </c>
      <c r="S103" s="10" t="inlineStr">
        <is>
          <t>Email 1 + LinkedIn request on day 2</t>
        </is>
      </c>
      <c r="T103" s="10" t="inlineStr">
        <is>
          <t>2026-11-02</t>
        </is>
      </c>
      <c r="U103" s="10" t="inlineStr">
        <is>
          <t>Partner</t>
        </is>
      </c>
      <c r="V103" s="10" t="inlineStr">
        <is>
          <t>not assessed</t>
        </is>
      </c>
    </row>
    <row r="104">
      <c r="A104" s="10" t="inlineStr">
        <is>
          <t>S151</t>
        </is>
      </c>
      <c r="B104" s="11" t="inlineStr">
        <is>
          <t>Shalu Investments</t>
        </is>
      </c>
      <c r="C104" s="10" t="inlineStr">
        <is>
          <t>Developer</t>
        </is>
      </c>
      <c r="D104" s="10" t="inlineStr">
        <is>
          <t>IL, US</t>
        </is>
      </c>
      <c r="E104" s="17" t="inlineStr">
        <is>
          <t>B</t>
        </is>
      </c>
      <c r="F104" s="10" t="inlineStr">
        <is>
          <t>M</t>
        </is>
      </c>
      <c r="G104" s="13" t="inlineStr">
        <is>
          <t>https://www.essential-business.pt/2025/10/03/shalu-invests-e100-million-in-luxury-porto-project/</t>
        </is>
      </c>
      <c r="H104" s="10" t="inlineStr">
        <is>
          <t>Israeli developer; 100 M€ O'rizon Living on the Douro (about 200 apartments, five buildings, Valbom in Gondomar), launched with Dils and Réplica (Oct 2025). Target buyers not stated: no proof yet of spend on foreign buyers</t>
        </is>
      </c>
      <c r="I104" s="10" t="n">
        <v>2025</v>
      </c>
      <c r="J104" s="10" t="inlineStr">
        <is>
          <t>Fetched</t>
        </is>
      </c>
      <c r="K104" s="10" t="inlineStr">
        <is>
          <t>Sales or marketing director</t>
        </is>
      </c>
      <c r="L104" s="10" t="inlineStr">
        <is>
          <t>LinkedIn (named role), then company email</t>
        </is>
      </c>
      <c r="M104" s="10" t="inlineStr">
        <is>
          <t>Campaign</t>
        </is>
      </c>
      <c r="N104" s="14">
        <f>INDEX(Settings!$B$4:$B$15,MATCH(M104,Settings!$A$4:$A$15,0))</f>
        <v/>
      </c>
      <c r="O104" s="15">
        <f>IF(E104="A",IF(I104&gt;=2022,Settings!$B$18,Settings!$B$19),IF(E104="B",Settings!$B$20,Settings!$B$21))+IF(F104="S",Settings!$B$22,0)</f>
        <v/>
      </c>
      <c r="P104" s="14">
        <f>N104*O104</f>
        <v/>
      </c>
      <c r="Q104" s="16">
        <f>P104*INDEX(Settings!$B$25:$B$27,MATCH(F104,Settings!$A$25:$A$27,0))</f>
        <v/>
      </c>
      <c r="R104" s="10" t="inlineStr">
        <is>
          <t>To contact</t>
        </is>
      </c>
      <c r="S104" s="10" t="inlineStr">
        <is>
          <t>Email 1 + LinkedIn request on day 2</t>
        </is>
      </c>
      <c r="T104" s="10" t="inlineStr">
        <is>
          <t>2026-11-03</t>
        </is>
      </c>
      <c r="U104" s="10" t="inlineStr">
        <is>
          <t>Partner</t>
        </is>
      </c>
      <c r="V104" s="10" t="inlineStr">
        <is>
          <t>Israel</t>
        </is>
      </c>
    </row>
    <row r="105">
      <c r="A105" s="10" t="inlineStr">
        <is>
          <t>S152</t>
        </is>
      </c>
      <c r="B105" s="11" t="inlineStr">
        <is>
          <t>Taga Urbanic</t>
        </is>
      </c>
      <c r="C105" s="10" t="inlineStr">
        <is>
          <t>Developer</t>
        </is>
      </c>
      <c r="D105" s="10" t="inlineStr">
        <is>
          <t>IL, US</t>
        </is>
      </c>
      <c r="E105" s="17" t="inlineStr">
        <is>
          <t>B</t>
        </is>
      </c>
      <c r="F105" s="10" t="inlineStr">
        <is>
          <t>M</t>
        </is>
      </c>
      <c r="G105" s="13" t="inlineStr">
        <is>
          <t>https://www.essential-business.pt/?p=21799</t>
        </is>
      </c>
      <c r="H105" s="10" t="inlineStr">
        <is>
          <t>Israeli group, in Portugal since 2018, 19 developments and about 2,000 homes in Porto, Gaia, Maia and Setúbal; Sal D'Ouro in Gaia (60 M€, 200 homes) aimed at the middle and upper-middle classes and foreign buyers (Apr 2023). Also builds in Israel, the UK, Germany and the US</t>
        </is>
      </c>
      <c r="I105" s="10" t="n">
        <v>2023</v>
      </c>
      <c r="J105" s="10" t="inlineStr">
        <is>
          <t>Fetched</t>
        </is>
      </c>
      <c r="K105" s="10" t="inlineStr">
        <is>
          <t>Sales or marketing director</t>
        </is>
      </c>
      <c r="L105" s="10" t="inlineStr">
        <is>
          <t>LinkedIn (named role), then company email</t>
        </is>
      </c>
      <c r="M105" s="10" t="inlineStr">
        <is>
          <t>Campaign</t>
        </is>
      </c>
      <c r="N105" s="14">
        <f>INDEX(Settings!$B$4:$B$15,MATCH(M105,Settings!$A$4:$A$15,0))</f>
        <v/>
      </c>
      <c r="O105" s="15">
        <f>IF(E105="A",IF(I105&gt;=2022,Settings!$B$18,Settings!$B$19),IF(E105="B",Settings!$B$20,Settings!$B$21))+IF(F105="S",Settings!$B$22,0)</f>
        <v/>
      </c>
      <c r="P105" s="14">
        <f>N105*O105</f>
        <v/>
      </c>
      <c r="Q105" s="16">
        <f>P105*INDEX(Settings!$B$25:$B$27,MATCH(F105,Settings!$A$25:$A$27,0))</f>
        <v/>
      </c>
      <c r="R105" s="10" t="inlineStr">
        <is>
          <t>To contact</t>
        </is>
      </c>
      <c r="S105" s="10" t="inlineStr">
        <is>
          <t>Email 1 + LinkedIn request on day 2</t>
        </is>
      </c>
      <c r="T105" s="10" t="inlineStr">
        <is>
          <t>2026-11-03</t>
        </is>
      </c>
      <c r="U105" s="10" t="inlineStr">
        <is>
          <t>Partner</t>
        </is>
      </c>
      <c r="V105" s="10" t="inlineStr">
        <is>
          <t>Israel</t>
        </is>
      </c>
    </row>
    <row r="106">
      <c r="A106" s="10" t="inlineStr">
        <is>
          <t>S153</t>
        </is>
      </c>
      <c r="B106" s="11" t="inlineStr">
        <is>
          <t>Youropa</t>
        </is>
      </c>
      <c r="C106" s="10" t="inlineStr">
        <is>
          <t>Developer</t>
        </is>
      </c>
      <c r="D106" s="10" t="inlineStr">
        <is>
          <t>IL, US</t>
        </is>
      </c>
      <c r="E106" s="17" t="inlineStr">
        <is>
          <t>B</t>
        </is>
      </c>
      <c r="F106" s="10" t="inlineStr">
        <is>
          <t>M</t>
        </is>
      </c>
      <c r="G106" s="13" t="inlineStr">
        <is>
          <t>https://econews.pt/?p=47234</t>
        </is>
      </c>
      <c r="H106" s="10" t="inlineStr">
        <is>
          <t>Israeli group; opened a Porto office on 15 May 2026; five own developments (80 M€ in sales), seven more being marketed, six projects delivered in 2026. It also resells and rents units: check it does not operate as an agency (D9) before contact</t>
        </is>
      </c>
      <c r="I106" s="10" t="n">
        <v>2026</v>
      </c>
      <c r="J106" s="10" t="inlineStr">
        <is>
          <t>Fetched</t>
        </is>
      </c>
      <c r="K106" s="10" t="inlineStr">
        <is>
          <t>Sales or marketing director</t>
        </is>
      </c>
      <c r="L106" s="10" t="inlineStr">
        <is>
          <t>LinkedIn (named role), then company email</t>
        </is>
      </c>
      <c r="M106" s="10" t="inlineStr">
        <is>
          <t>Campaign</t>
        </is>
      </c>
      <c r="N106" s="14">
        <f>INDEX(Settings!$B$4:$B$15,MATCH(M106,Settings!$A$4:$A$15,0))</f>
        <v/>
      </c>
      <c r="O106" s="15">
        <f>IF(E106="A",IF(I106&gt;=2022,Settings!$B$18,Settings!$B$19),IF(E106="B",Settings!$B$20,Settings!$B$21))+IF(F106="S",Settings!$B$22,0)</f>
        <v/>
      </c>
      <c r="P106" s="14">
        <f>N106*O106</f>
        <v/>
      </c>
      <c r="Q106" s="16">
        <f>P106*INDEX(Settings!$B$25:$B$27,MATCH(F106,Settings!$A$25:$A$27,0))</f>
        <v/>
      </c>
      <c r="R106" s="10" t="inlineStr">
        <is>
          <t>To contact</t>
        </is>
      </c>
      <c r="S106" s="10" t="inlineStr">
        <is>
          <t>Email 1 + LinkedIn request on day 2</t>
        </is>
      </c>
      <c r="T106" s="10" t="inlineStr">
        <is>
          <t>2026-11-03</t>
        </is>
      </c>
      <c r="U106" s="10" t="inlineStr">
        <is>
          <t>Partner</t>
        </is>
      </c>
      <c r="V106" s="10" t="inlineStr">
        <is>
          <t>Israel</t>
        </is>
      </c>
    </row>
    <row r="107">
      <c r="A107" s="10" t="inlineStr">
        <is>
          <t>S050</t>
        </is>
      </c>
      <c r="B107" s="11" t="inlineStr">
        <is>
          <t>Abreu Advogados</t>
        </is>
      </c>
      <c r="C107" s="10" t="inlineStr">
        <is>
          <t>Law firm</t>
        </is>
      </c>
      <c r="D107" s="10" t="inlineStr">
        <is>
          <t>FR, BR</t>
        </is>
      </c>
      <c r="E107" s="12" t="inlineStr">
        <is>
          <t>A</t>
        </is>
      </c>
      <c r="F107" s="10" t="inlineStr">
        <is>
          <t>L</t>
        </is>
      </c>
      <c r="G107" s="13" t="inlineStr">
        <is>
          <t>https://www.idealista.pt/news/node/26913</t>
        </is>
      </c>
      <c r="H107" s="10" t="inlineStr">
        <is>
          <t>Exhibitor, Paris Portuguese property fair (2015)</t>
        </is>
      </c>
      <c r="I107" s="10" t="n">
        <v>2015</v>
      </c>
      <c r="J107" s="10" t="inlineStr">
        <is>
          <t>Fetched</t>
        </is>
      </c>
      <c r="K107" s="10" t="inlineStr">
        <is>
          <t>Managing partner or business development</t>
        </is>
      </c>
      <c r="L107" s="10" t="inlineStr">
        <is>
          <t>Website: abreuadvogados.com</t>
        </is>
      </c>
      <c r="M107" s="10" t="inlineStr">
        <is>
          <t>Silver</t>
        </is>
      </c>
      <c r="N107" s="14">
        <f>INDEX(Settings!$B$4:$B$15,MATCH(M107,Settings!$A$4:$A$15,0))</f>
        <v/>
      </c>
      <c r="O107" s="15">
        <f>IF(E107="A",IF(I107&gt;=2022,Settings!$B$18,Settings!$B$19),IF(E107="B",Settings!$B$20,Settings!$B$21))+IF(F107="S",Settings!$B$22,0)</f>
        <v/>
      </c>
      <c r="P107" s="14">
        <f>N107*O107</f>
        <v/>
      </c>
      <c r="Q107" s="16">
        <f>P107*INDEX(Settings!$B$25:$B$27,MATCH(F107,Settings!$A$25:$A$27,0))</f>
        <v/>
      </c>
      <c r="R107" s="10" t="inlineStr">
        <is>
          <t>To contact</t>
        </is>
      </c>
      <c r="S107" s="10" t="inlineStr">
        <is>
          <t>Email 1 + LinkedIn request on day 2</t>
        </is>
      </c>
      <c r="T107" s="10" t="inlineStr">
        <is>
          <t>2026-11-02</t>
        </is>
      </c>
      <c r="U107" s="10" t="inlineStr">
        <is>
          <t>Partner</t>
        </is>
      </c>
      <c r="V107" s="10" t="inlineStr">
        <is>
          <t>not assessed</t>
        </is>
      </c>
    </row>
    <row r="108">
      <c r="A108" s="10" t="inlineStr">
        <is>
          <t>S051</t>
        </is>
      </c>
      <c r="B108" s="11" t="inlineStr">
        <is>
          <t>Artys Interiores</t>
        </is>
      </c>
      <c r="C108" s="10" t="inlineStr">
        <is>
          <t>Interior design</t>
        </is>
      </c>
      <c r="D108" s="10" t="inlineStr">
        <is>
          <t>FR</t>
        </is>
      </c>
      <c r="E108" s="12" t="inlineStr">
        <is>
          <t>A</t>
        </is>
      </c>
      <c r="F108" s="10" t="inlineStr">
        <is>
          <t>S</t>
        </is>
      </c>
      <c r="G108" s="13" t="inlineStr">
        <is>
          <t>https://www.idealista.pt/news/node/26913</t>
        </is>
      </c>
      <c r="H108" s="10" t="inlineStr">
        <is>
          <t>Exhibitor, Paris Portuguese property fair (2015)</t>
        </is>
      </c>
      <c r="I108" s="10" t="n">
        <v>2015</v>
      </c>
      <c r="J108" s="10" t="inlineStr">
        <is>
          <t>Fetched</t>
        </is>
      </c>
      <c r="K108" s="10" t="inlineStr">
        <is>
          <t>Owner or marketing lead</t>
        </is>
      </c>
      <c r="L108" s="10" t="inlineStr">
        <is>
          <t>Phone or email from company website, then LinkedIn</t>
        </is>
      </c>
      <c r="M108" s="10" t="inlineStr">
        <is>
          <t>Bronze</t>
        </is>
      </c>
      <c r="N108" s="14">
        <f>INDEX(Settings!$B$4:$B$15,MATCH(M108,Settings!$A$4:$A$15,0))</f>
        <v/>
      </c>
      <c r="O108" s="15">
        <f>IF(E108="A",IF(I108&gt;=2022,Settings!$B$18,Settings!$B$19),IF(E108="B",Settings!$B$20,Settings!$B$21))+IF(F108="S",Settings!$B$22,0)</f>
        <v/>
      </c>
      <c r="P108" s="14">
        <f>N108*O108</f>
        <v/>
      </c>
      <c r="Q108" s="16">
        <f>P108*INDEX(Settings!$B$25:$B$27,MATCH(F108,Settings!$A$25:$A$27,0))</f>
        <v/>
      </c>
      <c r="R108" s="10" t="inlineStr">
        <is>
          <t>To contact</t>
        </is>
      </c>
      <c r="S108" s="10" t="inlineStr">
        <is>
          <t>Email 1 + LinkedIn request on day 2</t>
        </is>
      </c>
      <c r="T108" s="10" t="inlineStr">
        <is>
          <t>2026-11-03</t>
        </is>
      </c>
      <c r="U108" s="10" t="inlineStr">
        <is>
          <t>Partner</t>
        </is>
      </c>
      <c r="V108" s="10" t="inlineStr">
        <is>
          <t>not assessed</t>
        </is>
      </c>
    </row>
    <row r="109">
      <c r="A109" s="10" t="inlineStr">
        <is>
          <t>S052</t>
        </is>
      </c>
      <c r="B109" s="11" t="inlineStr">
        <is>
          <t>PLMJ</t>
        </is>
      </c>
      <c r="C109" s="10" t="inlineStr">
        <is>
          <t>Law firm</t>
        </is>
      </c>
      <c r="D109" s="10" t="inlineStr">
        <is>
          <t>FR</t>
        </is>
      </c>
      <c r="E109" s="12" t="inlineStr">
        <is>
          <t>A</t>
        </is>
      </c>
      <c r="F109" s="10" t="inlineStr">
        <is>
          <t>L</t>
        </is>
      </c>
      <c r="G109" s="13" t="inlineStr">
        <is>
          <t>https://www.idealista.pt/news/node/26913</t>
        </is>
      </c>
      <c r="H109" s="10" t="inlineStr">
        <is>
          <t>Exhibitor, Paris Portuguese property fair (2015)</t>
        </is>
      </c>
      <c r="I109" s="10" t="n">
        <v>2015</v>
      </c>
      <c r="J109" s="10" t="inlineStr">
        <is>
          <t>Fetched</t>
        </is>
      </c>
      <c r="K109" s="10" t="inlineStr">
        <is>
          <t>Managing partner or business development</t>
        </is>
      </c>
      <c r="L109" s="10" t="inlineStr">
        <is>
          <t>Website: plmj.com</t>
        </is>
      </c>
      <c r="M109" s="10" t="inlineStr">
        <is>
          <t>Silver</t>
        </is>
      </c>
      <c r="N109" s="14">
        <f>INDEX(Settings!$B$4:$B$15,MATCH(M109,Settings!$A$4:$A$15,0))</f>
        <v/>
      </c>
      <c r="O109" s="15">
        <f>IF(E109="A",IF(I109&gt;=2022,Settings!$B$18,Settings!$B$19),IF(E109="B",Settings!$B$20,Settings!$B$21))+IF(F109="S",Settings!$B$22,0)</f>
        <v/>
      </c>
      <c r="P109" s="14">
        <f>N109*O109</f>
        <v/>
      </c>
      <c r="Q109" s="16">
        <f>P109*INDEX(Settings!$B$25:$B$27,MATCH(F109,Settings!$A$25:$A$27,0))</f>
        <v/>
      </c>
      <c r="R109" s="10" t="inlineStr">
        <is>
          <t>To contact</t>
        </is>
      </c>
      <c r="S109" s="10" t="inlineStr">
        <is>
          <t>Email 1 + LinkedIn request on day 2</t>
        </is>
      </c>
      <c r="T109" s="10" t="inlineStr">
        <is>
          <t>2026-11-03</t>
        </is>
      </c>
      <c r="U109" s="10" t="inlineStr">
        <is>
          <t>Partner</t>
        </is>
      </c>
      <c r="V109" s="10" t="inlineStr">
        <is>
          <t>not assessed</t>
        </is>
      </c>
    </row>
    <row r="110">
      <c r="A110" s="10" t="inlineStr">
        <is>
          <t>S053</t>
        </is>
      </c>
      <c r="B110" s="11" t="inlineStr">
        <is>
          <t>Quantico</t>
        </is>
      </c>
      <c r="C110" s="10" t="inlineStr">
        <is>
          <t>Real estate (to confirm)</t>
        </is>
      </c>
      <c r="D110" s="10" t="inlineStr">
        <is>
          <t>FR</t>
        </is>
      </c>
      <c r="E110" s="12" t="inlineStr">
        <is>
          <t>A</t>
        </is>
      </c>
      <c r="F110" s="10" t="inlineStr">
        <is>
          <t>S</t>
        </is>
      </c>
      <c r="G110" s="13" t="inlineStr">
        <is>
          <t>https://www.idealista.pt/news/node/26913</t>
        </is>
      </c>
      <c r="H110" s="10" t="inlineStr">
        <is>
          <t>Exhibitor, Paris Portuguese property fair (2015). Confirm what the company does</t>
        </is>
      </c>
      <c r="I110" s="10" t="n">
        <v>2015</v>
      </c>
      <c r="J110" s="10" t="inlineStr">
        <is>
          <t>Fetched</t>
        </is>
      </c>
      <c r="K110" s="10" t="inlineStr">
        <is>
          <t>Owner or marketing lead</t>
        </is>
      </c>
      <c r="L110" s="10" t="inlineStr">
        <is>
          <t>Phone or email from company website, then LinkedIn</t>
        </is>
      </c>
      <c r="M110" s="10" t="inlineStr">
        <is>
          <t>Bronze</t>
        </is>
      </c>
      <c r="N110" s="14">
        <f>INDEX(Settings!$B$4:$B$15,MATCH(M110,Settings!$A$4:$A$15,0))</f>
        <v/>
      </c>
      <c r="O110" s="15">
        <f>IF(E110="A",IF(I110&gt;=2022,Settings!$B$18,Settings!$B$19),IF(E110="B",Settings!$B$20,Settings!$B$21))+IF(F110="S",Settings!$B$22,0)</f>
        <v/>
      </c>
      <c r="P110" s="14">
        <f>N110*O110</f>
        <v/>
      </c>
      <c r="Q110" s="16">
        <f>P110*INDEX(Settings!$B$25:$B$27,MATCH(F110,Settings!$A$25:$A$27,0))</f>
        <v/>
      </c>
      <c r="R110" s="10" t="inlineStr">
        <is>
          <t>To contact</t>
        </is>
      </c>
      <c r="S110" s="10" t="inlineStr">
        <is>
          <t>Email 1 + LinkedIn request on day 2</t>
        </is>
      </c>
      <c r="T110" s="10" t="inlineStr">
        <is>
          <t>2026-11-03</t>
        </is>
      </c>
      <c r="U110" s="10" t="inlineStr">
        <is>
          <t>Partner</t>
        </is>
      </c>
      <c r="V110" s="10" t="inlineStr">
        <is>
          <t>not assessed</t>
        </is>
      </c>
    </row>
    <row r="111">
      <c r="A111" s="10" t="inlineStr">
        <is>
          <t>S054</t>
        </is>
      </c>
      <c r="B111" s="11" t="inlineStr">
        <is>
          <t>Cyril Jarnias</t>
        </is>
      </c>
      <c r="C111" s="10" t="inlineStr">
        <is>
          <t>Consultant (France→Portugal)</t>
        </is>
      </c>
      <c r="D111" s="10" t="inlineStr">
        <is>
          <t>FR</t>
        </is>
      </c>
      <c r="E111" s="17" t="inlineStr">
        <is>
          <t>B</t>
        </is>
      </c>
      <c r="F111" s="10" t="inlineStr">
        <is>
          <t>S</t>
        </is>
      </c>
      <c r="G111" s="13" t="inlineStr">
        <is>
          <t>https://www.cyriljarnias.fr/?p=22969</t>
        </is>
      </c>
      <c r="H111" s="10" t="inlineStr">
        <is>
          <t>Consultant for French buyers in Portugal</t>
        </is>
      </c>
      <c r="I111" s="10" t="n">
        <v>2026</v>
      </c>
      <c r="J111" s="10" t="inlineStr">
        <is>
          <t>Search result</t>
        </is>
      </c>
      <c r="K111" s="10" t="inlineStr">
        <is>
          <t>Owner or marketing lead</t>
        </is>
      </c>
      <c r="L111" s="10" t="inlineStr">
        <is>
          <t>Phone or email from company website, then LinkedIn</t>
        </is>
      </c>
      <c r="M111" s="10" t="inlineStr">
        <is>
          <t>Bronze</t>
        </is>
      </c>
      <c r="N111" s="14">
        <f>INDEX(Settings!$B$4:$B$15,MATCH(M111,Settings!$A$4:$A$15,0))</f>
        <v/>
      </c>
      <c r="O111" s="15">
        <f>IF(E111="A",IF(I111&gt;=2022,Settings!$B$18,Settings!$B$19),IF(E111="B",Settings!$B$20,Settings!$B$21))+IF(F111="S",Settings!$B$22,0)</f>
        <v/>
      </c>
      <c r="P111" s="14">
        <f>N111*O111</f>
        <v/>
      </c>
      <c r="Q111" s="16">
        <f>P111*INDEX(Settings!$B$25:$B$27,MATCH(F111,Settings!$A$25:$A$27,0))</f>
        <v/>
      </c>
      <c r="R111" s="10" t="inlineStr">
        <is>
          <t>To contact</t>
        </is>
      </c>
      <c r="S111" s="10" t="inlineStr">
        <is>
          <t>Email 1 + LinkedIn request on day 2</t>
        </is>
      </c>
      <c r="T111" s="10" t="inlineStr">
        <is>
          <t>2026-11-03</t>
        </is>
      </c>
      <c r="U111" s="10" t="inlineStr">
        <is>
          <t>Partner</t>
        </is>
      </c>
      <c r="V111" s="10" t="inlineStr">
        <is>
          <t>not assessed</t>
        </is>
      </c>
    </row>
    <row r="112">
      <c r="A112" s="10" t="inlineStr">
        <is>
          <t>S055</t>
        </is>
      </c>
      <c r="B112" s="11" t="inlineStr">
        <is>
          <t>Europackers</t>
        </is>
      </c>
      <c r="C112" s="10" t="inlineStr">
        <is>
          <t>Moving Brazil–Portugal</t>
        </is>
      </c>
      <c r="D112" s="10" t="inlineStr">
        <is>
          <t>BR</t>
        </is>
      </c>
      <c r="E112" s="17" t="inlineStr">
        <is>
          <t>B</t>
        </is>
      </c>
      <c r="F112" s="10" t="inlineStr">
        <is>
          <t>S</t>
        </is>
      </c>
      <c r="G112" s="13" t="inlineStr">
        <is>
          <t>https://www.cidadaniaevisto.com.br/blog/container-brasil-para-portugal-como-funciona</t>
        </is>
      </c>
      <c r="H112" s="10" t="inlineStr">
        <is>
          <t>Mover on the Brazil–Portugal route. Public complaints exist: vet before accepting</t>
        </is>
      </c>
      <c r="I112" s="10" t="n">
        <v>2026</v>
      </c>
      <c r="J112" s="10" t="inlineStr">
        <is>
          <t>Search result</t>
        </is>
      </c>
      <c r="K112" s="10" t="inlineStr">
        <is>
          <t>Owner or marketing lead</t>
        </is>
      </c>
      <c r="L112" s="10" t="inlineStr">
        <is>
          <t>Phone or email from company website, then LinkedIn</t>
        </is>
      </c>
      <c r="M112" s="10" t="inlineStr">
        <is>
          <t>Bronze</t>
        </is>
      </c>
      <c r="N112" s="14">
        <f>INDEX(Settings!$B$4:$B$15,MATCH(M112,Settings!$A$4:$A$15,0))</f>
        <v/>
      </c>
      <c r="O112" s="15">
        <f>IF(E112="A",IF(I112&gt;=2022,Settings!$B$18,Settings!$B$19),IF(E112="B",Settings!$B$20,Settings!$B$21))+IF(F112="S",Settings!$B$22,0)</f>
        <v/>
      </c>
      <c r="P112" s="14">
        <f>N112*O112</f>
        <v/>
      </c>
      <c r="Q112" s="16">
        <f>P112*INDEX(Settings!$B$25:$B$27,MATCH(F112,Settings!$A$25:$A$27,0))</f>
        <v/>
      </c>
      <c r="R112" s="10" t="inlineStr">
        <is>
          <t>To contact</t>
        </is>
      </c>
      <c r="S112" s="10" t="inlineStr">
        <is>
          <t>Email 1 + LinkedIn request on day 2</t>
        </is>
      </c>
      <c r="T112" s="10" t="inlineStr">
        <is>
          <t>2026-11-03</t>
        </is>
      </c>
      <c r="U112" s="10" t="inlineStr">
        <is>
          <t>Partner</t>
        </is>
      </c>
      <c r="V112" s="10" t="inlineStr">
        <is>
          <t>not assessed</t>
        </is>
      </c>
    </row>
    <row r="113">
      <c r="A113" s="10" t="inlineStr">
        <is>
          <t>S056</t>
        </is>
      </c>
      <c r="B113" s="11" t="inlineStr">
        <is>
          <t>Juramentei</t>
        </is>
      </c>
      <c r="C113" s="10" t="inlineStr">
        <is>
          <t>Sworn translation</t>
        </is>
      </c>
      <c r="D113" s="10" t="inlineStr">
        <is>
          <t>BR</t>
        </is>
      </c>
      <c r="E113" s="17" t="inlineStr">
        <is>
          <t>B</t>
        </is>
      </c>
      <c r="F113" s="10" t="inlineStr">
        <is>
          <t>S</t>
        </is>
      </c>
      <c r="G113" s="13" t="inlineStr">
        <is>
          <t>https://www.eurodicas.com.br/comprar-casa-em-portugal/</t>
        </is>
      </c>
      <c r="H113" s="10" t="inlineStr">
        <is>
          <t>Listed as Eurodicas partner site (document translation for buyers)</t>
        </is>
      </c>
      <c r="I113" s="10" t="n">
        <v>2026</v>
      </c>
      <c r="J113" s="10" t="inlineStr">
        <is>
          <t>Fetched</t>
        </is>
      </c>
      <c r="K113" s="10" t="inlineStr">
        <is>
          <t>Owner or marketing lead</t>
        </is>
      </c>
      <c r="L113" s="10" t="inlineStr">
        <is>
          <t>Phone or email from company website, then LinkedIn</t>
        </is>
      </c>
      <c r="M113" s="10" t="inlineStr">
        <is>
          <t>Bronze</t>
        </is>
      </c>
      <c r="N113" s="14">
        <f>INDEX(Settings!$B$4:$B$15,MATCH(M113,Settings!$A$4:$A$15,0))</f>
        <v/>
      </c>
      <c r="O113" s="15">
        <f>IF(E113="A",IF(I113&gt;=2022,Settings!$B$18,Settings!$B$19),IF(E113="B",Settings!$B$20,Settings!$B$21))+IF(F113="S",Settings!$B$22,0)</f>
        <v/>
      </c>
      <c r="P113" s="14">
        <f>N113*O113</f>
        <v/>
      </c>
      <c r="Q113" s="16">
        <f>P113*INDEX(Settings!$B$25:$B$27,MATCH(F113,Settings!$A$25:$A$27,0))</f>
        <v/>
      </c>
      <c r="R113" s="10" t="inlineStr">
        <is>
          <t>To contact</t>
        </is>
      </c>
      <c r="S113" s="10" t="inlineStr">
        <is>
          <t>Email 1 + LinkedIn request on day 2</t>
        </is>
      </c>
      <c r="T113" s="10" t="inlineStr">
        <is>
          <t>2026-11-03</t>
        </is>
      </c>
      <c r="U113" s="10" t="inlineStr">
        <is>
          <t>Partner</t>
        </is>
      </c>
      <c r="V113" s="10" t="inlineStr">
        <is>
          <t>not assessed</t>
        </is>
      </c>
    </row>
    <row r="114">
      <c r="A114" s="10" t="inlineStr">
        <is>
          <t>S057</t>
        </is>
      </c>
      <c r="B114" s="11" t="inlineStr">
        <is>
          <t>Just Arrived</t>
        </is>
      </c>
      <c r="C114" s="10" t="inlineStr">
        <is>
          <t>Relocation (Luxembourg)</t>
        </is>
      </c>
      <c r="D114" s="10" t="inlineStr">
        <is>
          <t>LU</t>
        </is>
      </c>
      <c r="E114" s="17" t="inlineStr">
        <is>
          <t>B</t>
        </is>
      </c>
      <c r="F114" s="10" t="inlineStr">
        <is>
          <t>S</t>
        </is>
      </c>
      <c r="G114" s="13" t="inlineStr">
        <is>
          <t>https://www.justarrived.lu/pt/services-partenaires/demenager</t>
        </is>
      </c>
      <c r="H114" s="10" t="inlineStr">
        <is>
          <t>Portuguese-language relocation services in Luxembourg</t>
        </is>
      </c>
      <c r="I114" s="10" t="n">
        <v>2026</v>
      </c>
      <c r="J114" s="10" t="inlineStr">
        <is>
          <t>Fetched</t>
        </is>
      </c>
      <c r="K114" s="10" t="inlineStr">
        <is>
          <t>Owner or marketing lead</t>
        </is>
      </c>
      <c r="L114" s="10" t="inlineStr">
        <is>
          <t>Phone or email from company website, then LinkedIn</t>
        </is>
      </c>
      <c r="M114" s="10" t="inlineStr">
        <is>
          <t>Bronze</t>
        </is>
      </c>
      <c r="N114" s="14">
        <f>INDEX(Settings!$B$4:$B$15,MATCH(M114,Settings!$A$4:$A$15,0))</f>
        <v/>
      </c>
      <c r="O114" s="15">
        <f>IF(E114="A",IF(I114&gt;=2022,Settings!$B$18,Settings!$B$19),IF(E114="B",Settings!$B$20,Settings!$B$21))+IF(F114="S",Settings!$B$22,0)</f>
        <v/>
      </c>
      <c r="P114" s="14">
        <f>N114*O114</f>
        <v/>
      </c>
      <c r="Q114" s="16">
        <f>P114*INDEX(Settings!$B$25:$B$27,MATCH(F114,Settings!$A$25:$A$27,0))</f>
        <v/>
      </c>
      <c r="R114" s="10" t="inlineStr">
        <is>
          <t>To contact</t>
        </is>
      </c>
      <c r="S114" s="10" t="inlineStr">
        <is>
          <t>Email 1 + LinkedIn request on day 2</t>
        </is>
      </c>
      <c r="T114" s="10" t="inlineStr">
        <is>
          <t>2026-11-03</t>
        </is>
      </c>
      <c r="U114" s="10" t="inlineStr">
        <is>
          <t>Partner</t>
        </is>
      </c>
      <c r="V114" s="10" t="inlineStr">
        <is>
          <t>not assessed</t>
        </is>
      </c>
    </row>
    <row r="115">
      <c r="A115" s="10" t="inlineStr">
        <is>
          <t>S058</t>
        </is>
      </c>
      <c r="B115" s="11" t="inlineStr">
        <is>
          <t>OnBoard Advisory</t>
        </is>
      </c>
      <c r="C115" s="10" t="inlineStr">
        <is>
          <t>Advisory (Luxembourg)</t>
        </is>
      </c>
      <c r="D115" s="10" t="inlineStr">
        <is>
          <t>LU</t>
        </is>
      </c>
      <c r="E115" s="17" t="inlineStr">
        <is>
          <t>B</t>
        </is>
      </c>
      <c r="F115" s="10" t="inlineStr">
        <is>
          <t>S</t>
        </is>
      </c>
      <c r="G115" s="13" t="inlineStr">
        <is>
          <t>https://en.paperjam.lu/club/event/paperjam-10x6-decisao-the-portuguese-business-community-in-action</t>
        </is>
      </c>
      <c r="H115" s="10" t="inlineStr">
        <is>
          <t>Speaker at the Decisão/Paperjam Portuguese business event</t>
        </is>
      </c>
      <c r="I115" s="10" t="n">
        <v>2026</v>
      </c>
      <c r="J115" s="10" t="inlineStr">
        <is>
          <t>Fetched</t>
        </is>
      </c>
      <c r="K115" s="10" t="inlineStr">
        <is>
          <t>Owner or marketing lead</t>
        </is>
      </c>
      <c r="L115" s="10" t="inlineStr">
        <is>
          <t>Phone or email from company website, then LinkedIn</t>
        </is>
      </c>
      <c r="M115" s="10" t="inlineStr">
        <is>
          <t>Bronze</t>
        </is>
      </c>
      <c r="N115" s="14">
        <f>INDEX(Settings!$B$4:$B$15,MATCH(M115,Settings!$A$4:$A$15,0))</f>
        <v/>
      </c>
      <c r="O115" s="15">
        <f>IF(E115="A",IF(I115&gt;=2022,Settings!$B$18,Settings!$B$19),IF(E115="B",Settings!$B$20,Settings!$B$21))+IF(F115="S",Settings!$B$22,0)</f>
        <v/>
      </c>
      <c r="P115" s="14">
        <f>N115*O115</f>
        <v/>
      </c>
      <c r="Q115" s="16">
        <f>P115*INDEX(Settings!$B$25:$B$27,MATCH(F115,Settings!$A$25:$A$27,0))</f>
        <v/>
      </c>
      <c r="R115" s="10" t="inlineStr">
        <is>
          <t>To contact</t>
        </is>
      </c>
      <c r="S115" s="10" t="inlineStr">
        <is>
          <t>Email 1 + LinkedIn request on day 2</t>
        </is>
      </c>
      <c r="T115" s="10" t="inlineStr">
        <is>
          <t>2026-11-03</t>
        </is>
      </c>
      <c r="U115" s="10" t="inlineStr">
        <is>
          <t>Partner</t>
        </is>
      </c>
      <c r="V115" s="10" t="inlineStr">
        <is>
          <t>not assessed</t>
        </is>
      </c>
    </row>
    <row r="116">
      <c r="A116" s="10" t="inlineStr">
        <is>
          <t>S059</t>
        </is>
      </c>
      <c r="B116" s="11" t="inlineStr">
        <is>
          <t>Zen Architecture</t>
        </is>
      </c>
      <c r="C116" s="10" t="inlineStr">
        <is>
          <t>Architecture (Luxembourg)</t>
        </is>
      </c>
      <c r="D116" s="10" t="inlineStr">
        <is>
          <t>LU</t>
        </is>
      </c>
      <c r="E116" s="17" t="inlineStr">
        <is>
          <t>B</t>
        </is>
      </c>
      <c r="F116" s="10" t="inlineStr">
        <is>
          <t>S</t>
        </is>
      </c>
      <c r="G116" s="13" t="inlineStr">
        <is>
          <t>https://en.paperjam.lu/club/event/paperjam-10x6-decisao-the-portuguese-business-community-in-action</t>
        </is>
      </c>
      <c r="H116" s="10" t="inlineStr">
        <is>
          <t>Portuguese-founded; speaker at the Decisão/Paperjam Portuguese business event (10 Nov 2026)</t>
        </is>
      </c>
      <c r="I116" s="10" t="n">
        <v>2026</v>
      </c>
      <c r="J116" s="10" t="inlineStr">
        <is>
          <t>Fetched</t>
        </is>
      </c>
      <c r="K116" s="10" t="inlineStr">
        <is>
          <t>Owner or marketing lead</t>
        </is>
      </c>
      <c r="L116" s="10" t="inlineStr">
        <is>
          <t>Phone or email from company website, then LinkedIn</t>
        </is>
      </c>
      <c r="M116" s="10" t="inlineStr">
        <is>
          <t>Bronze</t>
        </is>
      </c>
      <c r="N116" s="14">
        <f>INDEX(Settings!$B$4:$B$15,MATCH(M116,Settings!$A$4:$A$15,0))</f>
        <v/>
      </c>
      <c r="O116" s="15">
        <f>IF(E116="A",IF(I116&gt;=2022,Settings!$B$18,Settings!$B$19),IF(E116="B",Settings!$B$20,Settings!$B$21))+IF(F116="S",Settings!$B$22,0)</f>
        <v/>
      </c>
      <c r="P116" s="14">
        <f>N116*O116</f>
        <v/>
      </c>
      <c r="Q116" s="16">
        <f>P116*INDEX(Settings!$B$25:$B$27,MATCH(F116,Settings!$A$25:$A$27,0))</f>
        <v/>
      </c>
      <c r="R116" s="10" t="inlineStr">
        <is>
          <t>To contact</t>
        </is>
      </c>
      <c r="S116" s="10" t="inlineStr">
        <is>
          <t>Email 1 + LinkedIn request on day 2</t>
        </is>
      </c>
      <c r="T116" s="10" t="inlineStr">
        <is>
          <t>2026-11-03</t>
        </is>
      </c>
      <c r="U116" s="10" t="inlineStr">
        <is>
          <t>Partner</t>
        </is>
      </c>
      <c r="V116" s="10" t="inlineStr">
        <is>
          <t>not assessed</t>
        </is>
      </c>
    </row>
    <row r="117">
      <c r="A117" s="10" t="inlineStr">
        <is>
          <t>S060</t>
        </is>
      </c>
      <c r="B117" s="11" t="inlineStr">
        <is>
          <t>BDO Portugal</t>
        </is>
      </c>
      <c r="C117" s="10" t="inlineStr">
        <is>
          <t>Tax / accounting</t>
        </is>
      </c>
      <c r="D117" s="10" t="inlineStr">
        <is>
          <t>FR</t>
        </is>
      </c>
      <c r="E117" s="17" t="inlineStr">
        <is>
          <t>B</t>
        </is>
      </c>
      <c r="F117" s="10" t="inlineStr">
        <is>
          <t>L</t>
        </is>
      </c>
      <c r="G117" s="13" t="inlineStr">
        <is>
          <t>https://www.bdo.pt/getattachment/976e2ae4-5f6d-4174-b76e-23bf21d7c475/Guia-Investir-au-Portugal-25_9_Compress.pdf</t>
        </is>
      </c>
      <c r="H117" s="10" t="inlineStr">
        <is>
          <t>French-language 'Investir au Portugal' guide</t>
        </is>
      </c>
      <c r="I117" s="10" t="n">
        <v>2025</v>
      </c>
      <c r="J117" s="10" t="inlineStr">
        <is>
          <t>Search result</t>
        </is>
      </c>
      <c r="K117" s="10" t="inlineStr">
        <is>
          <t>Owner or marketing lead</t>
        </is>
      </c>
      <c r="L117" s="10" t="inlineStr">
        <is>
          <t>LinkedIn (named role); general partnerships email as backup</t>
        </is>
      </c>
      <c r="M117" s="10" t="inlineStr">
        <is>
          <t>Silver</t>
        </is>
      </c>
      <c r="N117" s="14">
        <f>INDEX(Settings!$B$4:$B$15,MATCH(M117,Settings!$A$4:$A$15,0))</f>
        <v/>
      </c>
      <c r="O117" s="15">
        <f>IF(E117="A",IF(I117&gt;=2022,Settings!$B$18,Settings!$B$19),IF(E117="B",Settings!$B$20,Settings!$B$21))+IF(F117="S",Settings!$B$22,0)</f>
        <v/>
      </c>
      <c r="P117" s="14">
        <f>N117*O117</f>
        <v/>
      </c>
      <c r="Q117" s="16">
        <f>P117*INDEX(Settings!$B$25:$B$27,MATCH(F117,Settings!$A$25:$A$27,0))</f>
        <v/>
      </c>
      <c r="R117" s="10" t="inlineStr">
        <is>
          <t>To contact</t>
        </is>
      </c>
      <c r="S117" s="10" t="inlineStr">
        <is>
          <t>Email 1 + LinkedIn request on day 2</t>
        </is>
      </c>
      <c r="T117" s="10" t="inlineStr">
        <is>
          <t>2026-11-03</t>
        </is>
      </c>
      <c r="U117" s="10" t="inlineStr">
        <is>
          <t>Partner</t>
        </is>
      </c>
      <c r="V117" s="10" t="inlineStr">
        <is>
          <t>not assessed</t>
        </is>
      </c>
    </row>
    <row r="118">
      <c r="A118" s="10" t="inlineStr">
        <is>
          <t>S061</t>
        </is>
      </c>
      <c r="B118" s="11" t="inlineStr">
        <is>
          <t>Banco BPI</t>
        </is>
      </c>
      <c r="C118" s="10" t="inlineStr">
        <is>
          <t>Bank</t>
        </is>
      </c>
      <c r="D118" s="10" t="inlineStr">
        <is>
          <t>BR</t>
        </is>
      </c>
      <c r="E118" s="17" t="inlineStr">
        <is>
          <t>B</t>
        </is>
      </c>
      <c r="F118" s="10" t="inlineStr">
        <is>
          <t>L</t>
        </is>
      </c>
      <c r="G118" s="13" t="inlineStr">
        <is>
          <t>https://www.eurodicas.com.br/como-financiar-imovel-em-portugal/</t>
        </is>
      </c>
      <c r="H118" s="10" t="inlineStr">
        <is>
          <t>Listed (unpaid) in Eurodicas mortgage guide for Brazilians</t>
        </is>
      </c>
      <c r="I118" s="10" t="n">
        <v>2026</v>
      </c>
      <c r="J118" s="10" t="inlineStr">
        <is>
          <t>Fetched</t>
        </is>
      </c>
      <c r="K118" s="10" t="inlineStr">
        <is>
          <t>Marketing lead, non-resident / emigrant segment</t>
        </is>
      </c>
      <c r="L118" s="10" t="inlineStr">
        <is>
          <t>LinkedIn (named role); general partnerships email as backup</t>
        </is>
      </c>
      <c r="M118" s="10" t="inlineStr">
        <is>
          <t>Silver</t>
        </is>
      </c>
      <c r="N118" s="14">
        <f>INDEX(Settings!$B$4:$B$15,MATCH(M118,Settings!$A$4:$A$15,0))</f>
        <v/>
      </c>
      <c r="O118" s="15">
        <f>IF(E118="A",IF(I118&gt;=2022,Settings!$B$18,Settings!$B$19),IF(E118="B",Settings!$B$20,Settings!$B$21))+IF(F118="S",Settings!$B$22,0)</f>
        <v/>
      </c>
      <c r="P118" s="14">
        <f>N118*O118</f>
        <v/>
      </c>
      <c r="Q118" s="16">
        <f>P118*INDEX(Settings!$B$25:$B$27,MATCH(F118,Settings!$A$25:$A$27,0))</f>
        <v/>
      </c>
      <c r="R118" s="10" t="inlineStr">
        <is>
          <t>To contact</t>
        </is>
      </c>
      <c r="S118" s="10" t="inlineStr">
        <is>
          <t>Email 1 + LinkedIn request on day 2</t>
        </is>
      </c>
      <c r="T118" s="10" t="inlineStr">
        <is>
          <t>2026-11-04</t>
        </is>
      </c>
      <c r="U118" s="10" t="inlineStr">
        <is>
          <t>Partner</t>
        </is>
      </c>
      <c r="V118" s="10" t="inlineStr">
        <is>
          <t>not assessed</t>
        </is>
      </c>
    </row>
    <row r="119">
      <c r="A119" s="10" t="inlineStr">
        <is>
          <t>S062</t>
        </is>
      </c>
      <c r="B119" s="11" t="inlineStr">
        <is>
          <t>Cofidis Portugal</t>
        </is>
      </c>
      <c r="C119" s="10" t="inlineStr">
        <is>
          <t>Credit</t>
        </is>
      </c>
      <c r="D119" s="10" t="inlineStr">
        <is>
          <t>LU, FR, CH</t>
        </is>
      </c>
      <c r="E119" s="17" t="inlineStr">
        <is>
          <t>B</t>
        </is>
      </c>
      <c r="F119" s="10" t="inlineStr">
        <is>
          <t>L</t>
        </is>
      </c>
      <c r="G119" s="13" t="inlineStr">
        <is>
          <t>https://contasconnosco.cofidis.pt/credito/e-emigrante-e-quer-fazer-um-credito-habitacao-em-portugal</t>
        </is>
      </c>
      <c r="H119" s="10" t="inlineStr">
        <is>
          <t>Content for emigrants about mortgages</t>
        </is>
      </c>
      <c r="I119" s="10" t="n">
        <v>2026</v>
      </c>
      <c r="J119" s="10" t="inlineStr">
        <is>
          <t>Search result</t>
        </is>
      </c>
      <c r="K119" s="10" t="inlineStr">
        <is>
          <t>Partnerships or marketing lead</t>
        </is>
      </c>
      <c r="L119" s="10" t="inlineStr">
        <is>
          <t>LinkedIn (named role); general partnerships email as backup</t>
        </is>
      </c>
      <c r="M119" s="10" t="inlineStr">
        <is>
          <t>Silver</t>
        </is>
      </c>
      <c r="N119" s="14">
        <f>INDEX(Settings!$B$4:$B$15,MATCH(M119,Settings!$A$4:$A$15,0))</f>
        <v/>
      </c>
      <c r="O119" s="15">
        <f>IF(E119="A",IF(I119&gt;=2022,Settings!$B$18,Settings!$B$19),IF(E119="B",Settings!$B$20,Settings!$B$21))+IF(F119="S",Settings!$B$22,0)</f>
        <v/>
      </c>
      <c r="P119" s="14">
        <f>N119*O119</f>
        <v/>
      </c>
      <c r="Q119" s="16">
        <f>P119*INDEX(Settings!$B$25:$B$27,MATCH(F119,Settings!$A$25:$A$27,0))</f>
        <v/>
      </c>
      <c r="R119" s="10" t="inlineStr">
        <is>
          <t>To contact</t>
        </is>
      </c>
      <c r="S119" s="10" t="inlineStr">
        <is>
          <t>Email 1 + LinkedIn request on day 2</t>
        </is>
      </c>
      <c r="T119" s="10" t="inlineStr">
        <is>
          <t>2026-11-04</t>
        </is>
      </c>
      <c r="U119" s="10" t="inlineStr">
        <is>
          <t>Partner</t>
        </is>
      </c>
      <c r="V119" s="10" t="inlineStr">
        <is>
          <t>not assessed</t>
        </is>
      </c>
    </row>
    <row r="120">
      <c r="A120" s="10" t="inlineStr">
        <is>
          <t>S063</t>
        </is>
      </c>
      <c r="B120" s="11" t="inlineStr">
        <is>
          <t>Crédito Agrícola</t>
        </is>
      </c>
      <c r="C120" s="10" t="inlineStr">
        <is>
          <t>Bank</t>
        </is>
      </c>
      <c r="D120" s="10" t="inlineStr">
        <is>
          <t>FR, LU, CH</t>
        </is>
      </c>
      <c r="E120" s="17" t="inlineStr">
        <is>
          <t>B</t>
        </is>
      </c>
      <c r="F120" s="10" t="inlineStr">
        <is>
          <t>L</t>
        </is>
      </c>
      <c r="G120" s="13" t="inlineStr">
        <is>
          <t>https://ca-ql.creditoagricola.pt/institucional/international-v2</t>
        </is>
      </c>
      <c r="H120" s="10" t="inlineStr">
        <is>
          <t>International page; strong in the regions emigrants come from</t>
        </is>
      </c>
      <c r="I120" s="10" t="n">
        <v>2026</v>
      </c>
      <c r="J120" s="10" t="inlineStr">
        <is>
          <t>Search result</t>
        </is>
      </c>
      <c r="K120" s="10" t="inlineStr">
        <is>
          <t>Marketing lead, non-resident / emigrant segment</t>
        </is>
      </c>
      <c r="L120" s="10" t="inlineStr">
        <is>
          <t>LinkedIn (named role); general partnerships email as backup</t>
        </is>
      </c>
      <c r="M120" s="10" t="inlineStr">
        <is>
          <t>Silver</t>
        </is>
      </c>
      <c r="N120" s="14">
        <f>INDEX(Settings!$B$4:$B$15,MATCH(M120,Settings!$A$4:$A$15,0))</f>
        <v/>
      </c>
      <c r="O120" s="15">
        <f>IF(E120="A",IF(I120&gt;=2022,Settings!$B$18,Settings!$B$19),IF(E120="B",Settings!$B$20,Settings!$B$21))+IF(F120="S",Settings!$B$22,0)</f>
        <v/>
      </c>
      <c r="P120" s="14">
        <f>N120*O120</f>
        <v/>
      </c>
      <c r="Q120" s="16">
        <f>P120*INDEX(Settings!$B$25:$B$27,MATCH(F120,Settings!$A$25:$A$27,0))</f>
        <v/>
      </c>
      <c r="R120" s="10" t="inlineStr">
        <is>
          <t>To contact</t>
        </is>
      </c>
      <c r="S120" s="10" t="inlineStr">
        <is>
          <t>Email 1 + LinkedIn request on day 2</t>
        </is>
      </c>
      <c r="T120" s="10" t="inlineStr">
        <is>
          <t>2026-11-04</t>
        </is>
      </c>
      <c r="U120" s="10" t="inlineStr">
        <is>
          <t>Partner</t>
        </is>
      </c>
      <c r="V120" s="10" t="inlineStr">
        <is>
          <t>not assessed</t>
        </is>
      </c>
    </row>
    <row r="121">
      <c r="A121" s="10" t="inlineStr">
        <is>
          <t>S064</t>
        </is>
      </c>
      <c r="B121" s="11" t="inlineStr">
        <is>
          <t>Fieldfisher Portugal</t>
        </is>
      </c>
      <c r="C121" s="10" t="inlineStr">
        <is>
          <t>Law firm</t>
        </is>
      </c>
      <c r="D121" s="10" t="inlineStr">
        <is>
          <t>FR</t>
        </is>
      </c>
      <c r="E121" s="17" t="inlineStr">
        <is>
          <t>B</t>
        </is>
      </c>
      <c r="F121" s="10" t="inlineStr">
        <is>
          <t>L</t>
        </is>
      </c>
      <c r="G121" s="13" t="inlineStr">
        <is>
          <t>https://www.fieldfisher.com/pt-pt/people/franck-mattos</t>
        </is>
      </c>
      <c r="H121" s="10" t="inlineStr">
        <is>
          <t>French-speaking real-estate lawyers in Portugal</t>
        </is>
      </c>
      <c r="I121" s="10" t="n">
        <v>2026</v>
      </c>
      <c r="J121" s="10" t="inlineStr">
        <is>
          <t>Search result</t>
        </is>
      </c>
      <c r="K121" s="10" t="inlineStr">
        <is>
          <t>Managing partner or business development</t>
        </is>
      </c>
      <c r="L121" s="10" t="inlineStr">
        <is>
          <t>LinkedIn (named role); general partnerships email as backup</t>
        </is>
      </c>
      <c r="M121" s="10" t="inlineStr">
        <is>
          <t>Silver</t>
        </is>
      </c>
      <c r="N121" s="14">
        <f>INDEX(Settings!$B$4:$B$15,MATCH(M121,Settings!$A$4:$A$15,0))</f>
        <v/>
      </c>
      <c r="O121" s="15">
        <f>IF(E121="A",IF(I121&gt;=2022,Settings!$B$18,Settings!$B$19),IF(E121="B",Settings!$B$20,Settings!$B$21))+IF(F121="S",Settings!$B$22,0)</f>
        <v/>
      </c>
      <c r="P121" s="14">
        <f>N121*O121</f>
        <v/>
      </c>
      <c r="Q121" s="16">
        <f>P121*INDEX(Settings!$B$25:$B$27,MATCH(F121,Settings!$A$25:$A$27,0))</f>
        <v/>
      </c>
      <c r="R121" s="10" t="inlineStr">
        <is>
          <t>To contact</t>
        </is>
      </c>
      <c r="S121" s="10" t="inlineStr">
        <is>
          <t>Email 1 + LinkedIn request on day 2</t>
        </is>
      </c>
      <c r="T121" s="10" t="inlineStr">
        <is>
          <t>2026-11-04</t>
        </is>
      </c>
      <c r="U121" s="10" t="inlineStr">
        <is>
          <t>Partner</t>
        </is>
      </c>
      <c r="V121" s="10" t="inlineStr">
        <is>
          <t>not assessed</t>
        </is>
      </c>
    </row>
    <row r="122">
      <c r="A122" s="10" t="inlineStr">
        <is>
          <t>S065</t>
        </is>
      </c>
      <c r="B122" s="11" t="inlineStr">
        <is>
          <t>Meilleurtaux</t>
        </is>
      </c>
      <c r="C122" s="10" t="inlineStr">
        <is>
          <t>Credit broker (France)</t>
        </is>
      </c>
      <c r="D122" s="10" t="inlineStr">
        <is>
          <t>FR</t>
        </is>
      </c>
      <c r="E122" s="17" t="inlineStr">
        <is>
          <t>B</t>
        </is>
      </c>
      <c r="F122" s="10" t="inlineStr">
        <is>
          <t>L</t>
        </is>
      </c>
      <c r="G122" s="13" t="inlineStr">
        <is>
          <t>https://www.meilleurtaux.com/credit-immobilier/actualites/2020-juillet/portugal-terre-accueil-ideale-expatries-francais.html</t>
        </is>
      </c>
      <c r="H122" s="10" t="inlineStr">
        <is>
          <t>Content on Portugal for French buyers</t>
        </is>
      </c>
      <c r="I122" s="10" t="n">
        <v>2020</v>
      </c>
      <c r="J122" s="10" t="inlineStr">
        <is>
          <t>Search result</t>
        </is>
      </c>
      <c r="K122" s="10" t="inlineStr">
        <is>
          <t>Partnerships or marketing lead</t>
        </is>
      </c>
      <c r="L122" s="10" t="inlineStr">
        <is>
          <t>LinkedIn (named role); general partnerships email as backup</t>
        </is>
      </c>
      <c r="M122" s="10" t="inlineStr">
        <is>
          <t>Silver</t>
        </is>
      </c>
      <c r="N122" s="14">
        <f>INDEX(Settings!$B$4:$B$15,MATCH(M122,Settings!$A$4:$A$15,0))</f>
        <v/>
      </c>
      <c r="O122" s="15">
        <f>IF(E122="A",IF(I122&gt;=2022,Settings!$B$18,Settings!$B$19),IF(E122="B",Settings!$B$20,Settings!$B$21))+IF(F122="S",Settings!$B$22,0)</f>
        <v/>
      </c>
      <c r="P122" s="14">
        <f>N122*O122</f>
        <v/>
      </c>
      <c r="Q122" s="16">
        <f>P122*INDEX(Settings!$B$25:$B$27,MATCH(F122,Settings!$A$25:$A$27,0))</f>
        <v/>
      </c>
      <c r="R122" s="10" t="inlineStr">
        <is>
          <t>To contact</t>
        </is>
      </c>
      <c r="S122" s="10" t="inlineStr">
        <is>
          <t>Email 1 + LinkedIn request on day 2</t>
        </is>
      </c>
      <c r="T122" s="10" t="inlineStr">
        <is>
          <t>2026-11-04</t>
        </is>
      </c>
      <c r="U122" s="10" t="inlineStr">
        <is>
          <t>Partner</t>
        </is>
      </c>
      <c r="V122" s="10" t="inlineStr">
        <is>
          <t>not assessed</t>
        </is>
      </c>
    </row>
    <row r="123">
      <c r="A123" s="10" t="inlineStr">
        <is>
          <t>S066</t>
        </is>
      </c>
      <c r="B123" s="11" t="inlineStr">
        <is>
          <t>Miranda &amp; Associados</t>
        </is>
      </c>
      <c r="C123" s="10" t="inlineStr">
        <is>
          <t>Law firm</t>
        </is>
      </c>
      <c r="D123" s="10" t="inlineStr">
        <is>
          <t>FR</t>
        </is>
      </c>
      <c r="E123" s="17" t="inlineStr">
        <is>
          <t>B</t>
        </is>
      </c>
      <c r="F123" s="10" t="inlineStr">
        <is>
          <t>L</t>
        </is>
      </c>
      <c r="G123" s="13" t="inlineStr">
        <is>
          <t>https://mirandalawfirm.com/download/2729/aad470f4cb89c159ff1db5542b48660f/Guia%20Investir%20au%20Portugal%2025_9_Compress.pdf</t>
        </is>
      </c>
      <c r="H123" s="10" t="inlineStr">
        <is>
          <t>French-language 'Investir au Portugal' guide</t>
        </is>
      </c>
      <c r="I123" s="10" t="n">
        <v>2025</v>
      </c>
      <c r="J123" s="10" t="inlineStr">
        <is>
          <t>Search result</t>
        </is>
      </c>
      <c r="K123" s="10" t="inlineStr">
        <is>
          <t>Managing partner or business development</t>
        </is>
      </c>
      <c r="L123" s="10" t="inlineStr">
        <is>
          <t>LinkedIn (named role); general partnerships email as backup</t>
        </is>
      </c>
      <c r="M123" s="10" t="inlineStr">
        <is>
          <t>Silver</t>
        </is>
      </c>
      <c r="N123" s="14">
        <f>INDEX(Settings!$B$4:$B$15,MATCH(M123,Settings!$A$4:$A$15,0))</f>
        <v/>
      </c>
      <c r="O123" s="15">
        <f>IF(E123="A",IF(I123&gt;=2022,Settings!$B$18,Settings!$B$19),IF(E123="B",Settings!$B$20,Settings!$B$21))+IF(F123="S",Settings!$B$22,0)</f>
        <v/>
      </c>
      <c r="P123" s="14">
        <f>N123*O123</f>
        <v/>
      </c>
      <c r="Q123" s="16">
        <f>P123*INDEX(Settings!$B$25:$B$27,MATCH(F123,Settings!$A$25:$A$27,0))</f>
        <v/>
      </c>
      <c r="R123" s="10" t="inlineStr">
        <is>
          <t>To contact</t>
        </is>
      </c>
      <c r="S123" s="10" t="inlineStr">
        <is>
          <t>Email 1 + LinkedIn request on day 2</t>
        </is>
      </c>
      <c r="T123" s="10" t="inlineStr">
        <is>
          <t>2026-11-04</t>
        </is>
      </c>
      <c r="U123" s="10" t="inlineStr">
        <is>
          <t>Partner</t>
        </is>
      </c>
      <c r="V123" s="10" t="inlineStr">
        <is>
          <t>not assessed</t>
        </is>
      </c>
    </row>
    <row r="124">
      <c r="A124" s="10" t="inlineStr">
        <is>
          <t>S067</t>
        </is>
      </c>
      <c r="B124" s="11" t="inlineStr">
        <is>
          <t>Wise</t>
        </is>
      </c>
      <c r="C124" s="10" t="inlineStr">
        <is>
          <t>FX / transfers</t>
        </is>
      </c>
      <c r="D124" s="10" t="inlineStr">
        <is>
          <t>LU, FR, CH, BR</t>
        </is>
      </c>
      <c r="E124" s="12" t="inlineStr">
        <is>
          <t>A</t>
        </is>
      </c>
      <c r="F124" s="10" t="inlineStr">
        <is>
          <t>L</t>
        </is>
      </c>
      <c r="G124" s="13" t="inlineStr">
        <is>
          <t>https://www.eurodicas.com.br/comprar-casa-em-portugal/</t>
        </is>
      </c>
      <c r="H124" s="10" t="inlineStr">
        <is>
          <t>Affiliate links on Eurodicas</t>
        </is>
      </c>
      <c r="I124" s="10" t="n">
        <v>2026</v>
      </c>
      <c r="J124" s="10" t="inlineStr">
        <is>
          <t>Fetched</t>
        </is>
      </c>
      <c r="K124" s="10" t="inlineStr">
        <is>
          <t>Partnerships / affiliates manager</t>
        </is>
      </c>
      <c r="L124" s="10" t="inlineStr">
        <is>
          <t>Website: wise.com</t>
        </is>
      </c>
      <c r="M124" s="10" t="inlineStr">
        <is>
          <t>Affiliate</t>
        </is>
      </c>
      <c r="N124" s="14">
        <f>INDEX(Settings!$B$4:$B$15,MATCH(M124,Settings!$A$4:$A$15,0))</f>
        <v/>
      </c>
      <c r="O124" s="15">
        <f>IF(E124="A",IF(I124&gt;=2022,Settings!$B$18,Settings!$B$19),IF(E124="B",Settings!$B$20,Settings!$B$21))+IF(F124="S",Settings!$B$22,0)</f>
        <v/>
      </c>
      <c r="P124" s="14">
        <f>N124*O124</f>
        <v/>
      </c>
      <c r="Q124" s="16">
        <f>P124*INDEX(Settings!$B$25:$B$27,MATCH(F124,Settings!$A$25:$A$27,0))</f>
        <v/>
      </c>
      <c r="R124" s="10" t="inlineStr">
        <is>
          <t>To contact</t>
        </is>
      </c>
      <c r="S124" s="10" t="inlineStr">
        <is>
          <t>Email 1 + LinkedIn request on day 2</t>
        </is>
      </c>
      <c r="T124" s="10" t="inlineStr">
        <is>
          <t>2026-11-04</t>
        </is>
      </c>
      <c r="U124" s="10" t="inlineStr">
        <is>
          <t>Partner</t>
        </is>
      </c>
      <c r="V124" s="10" t="inlineStr">
        <is>
          <t>not assessed</t>
        </is>
      </c>
    </row>
    <row r="125">
      <c r="A125" s="10" t="inlineStr">
        <is>
          <t>S068</t>
        </is>
      </c>
      <c r="B125" s="11" t="inlineStr">
        <is>
          <t>Caixiave</t>
        </is>
      </c>
      <c r="C125" s="10" t="inlineStr">
        <is>
          <t>Windows / building</t>
        </is>
      </c>
      <c r="D125" s="10" t="inlineStr">
        <is>
          <t>FR</t>
        </is>
      </c>
      <c r="E125" s="17" t="inlineStr">
        <is>
          <t>B</t>
        </is>
      </c>
      <c r="F125" s="10" t="inlineStr">
        <is>
          <t>M</t>
        </is>
      </c>
      <c r="G125" s="13" t="inlineStr">
        <is>
          <t>https://www.caixiave.pt/fr/nouvelle/caixiave-salon-de-limmobilier-au-portugal-sil-2024</t>
        </is>
      </c>
      <c r="H125" s="10" t="inlineStr">
        <is>
          <t>French-language news page; exhibitor at SIL 2024</t>
        </is>
      </c>
      <c r="I125" s="10" t="n">
        <v>2024</v>
      </c>
      <c r="J125" s="10" t="inlineStr">
        <is>
          <t>Search result</t>
        </is>
      </c>
      <c r="K125" s="10" t="inlineStr">
        <is>
          <t>Owner or marketing lead</t>
        </is>
      </c>
      <c r="L125" s="10" t="inlineStr">
        <is>
          <t>LinkedIn (named role), then company email</t>
        </is>
      </c>
      <c r="M125" s="10" t="inlineStr">
        <is>
          <t>Bronze</t>
        </is>
      </c>
      <c r="N125" s="14">
        <f>INDEX(Settings!$B$4:$B$15,MATCH(M125,Settings!$A$4:$A$15,0))</f>
        <v/>
      </c>
      <c r="O125" s="15">
        <f>IF(E125="A",IF(I125&gt;=2022,Settings!$B$18,Settings!$B$19),IF(E125="B",Settings!$B$20,Settings!$B$21))+IF(F125="S",Settings!$B$22,0)</f>
        <v/>
      </c>
      <c r="P125" s="14">
        <f>N125*O125</f>
        <v/>
      </c>
      <c r="Q125" s="16">
        <f>P125*INDEX(Settings!$B$25:$B$27,MATCH(F125,Settings!$A$25:$A$27,0))</f>
        <v/>
      </c>
      <c r="R125" s="10" t="inlineStr">
        <is>
          <t>To contact</t>
        </is>
      </c>
      <c r="S125" s="10" t="inlineStr">
        <is>
          <t>Email 1 + LinkedIn request on day 2</t>
        </is>
      </c>
      <c r="T125" s="10" t="inlineStr">
        <is>
          <t>2026-11-04</t>
        </is>
      </c>
      <c r="U125" s="10" t="inlineStr">
        <is>
          <t>Partner</t>
        </is>
      </c>
      <c r="V125" s="10" t="inlineStr">
        <is>
          <t>not assessed</t>
        </is>
      </c>
    </row>
    <row r="126">
      <c r="A126" s="10" t="inlineStr">
        <is>
          <t>S069</t>
        </is>
      </c>
      <c r="B126" s="11" t="inlineStr">
        <is>
          <t>Eurosender</t>
        </is>
      </c>
      <c r="C126" s="10" t="inlineStr">
        <is>
          <t>Moving / shipping</t>
        </is>
      </c>
      <c r="D126" s="10" t="inlineStr">
        <is>
          <t>CH, LU</t>
        </is>
      </c>
      <c r="E126" s="17" t="inlineStr">
        <is>
          <t>B</t>
        </is>
      </c>
      <c r="F126" s="10" t="inlineStr">
        <is>
          <t>M</t>
        </is>
      </c>
      <c r="G126" s="13" t="inlineStr">
        <is>
          <t>https://www.eurosender.com/pt/rr/mudancas/suica</t>
        </is>
      </c>
      <c r="H126" s="10" t="inlineStr">
        <is>
          <t>Portuguese pages for moves to Switzerland and Luxembourg</t>
        </is>
      </c>
      <c r="I126" s="10" t="n">
        <v>2026</v>
      </c>
      <c r="J126" s="10" t="inlineStr">
        <is>
          <t>Search result</t>
        </is>
      </c>
      <c r="K126" s="10" t="inlineStr">
        <is>
          <t>Owner or marketing lead</t>
        </is>
      </c>
      <c r="L126" s="10" t="inlineStr">
        <is>
          <t>LinkedIn (named role), then company email</t>
        </is>
      </c>
      <c r="M126" s="10" t="inlineStr">
        <is>
          <t>Bronze</t>
        </is>
      </c>
      <c r="N126" s="14">
        <f>INDEX(Settings!$B$4:$B$15,MATCH(M126,Settings!$A$4:$A$15,0))</f>
        <v/>
      </c>
      <c r="O126" s="15">
        <f>IF(E126="A",IF(I126&gt;=2022,Settings!$B$18,Settings!$B$19),IF(E126="B",Settings!$B$20,Settings!$B$21))+IF(F126="S",Settings!$B$22,0)</f>
        <v/>
      </c>
      <c r="P126" s="14">
        <f>N126*O126</f>
        <v/>
      </c>
      <c r="Q126" s="16">
        <f>P126*INDEX(Settings!$B$25:$B$27,MATCH(F126,Settings!$A$25:$A$27,0))</f>
        <v/>
      </c>
      <c r="R126" s="10" t="inlineStr">
        <is>
          <t>To contact</t>
        </is>
      </c>
      <c r="S126" s="10" t="inlineStr">
        <is>
          <t>Email 1 + LinkedIn request on day 2</t>
        </is>
      </c>
      <c r="T126" s="10" t="inlineStr">
        <is>
          <t>2026-11-04</t>
        </is>
      </c>
      <c r="U126" s="10" t="inlineStr">
        <is>
          <t>Partner</t>
        </is>
      </c>
      <c r="V126" s="10" t="inlineStr">
        <is>
          <t>not assessed</t>
        </is>
      </c>
    </row>
    <row r="127">
      <c r="A127" s="10" t="inlineStr">
        <is>
          <t>S070</t>
        </is>
      </c>
      <c r="B127" s="11" t="inlineStr">
        <is>
          <t>Uniplaces</t>
        </is>
      </c>
      <c r="C127" s="10" t="inlineStr">
        <is>
          <t>Rentals</t>
        </is>
      </c>
      <c r="D127" s="10" t="inlineStr">
        <is>
          <t>BR</t>
        </is>
      </c>
      <c r="E127" s="17" t="inlineStr">
        <is>
          <t>B</t>
        </is>
      </c>
      <c r="F127" s="10" t="inlineStr">
        <is>
          <t>M</t>
        </is>
      </c>
      <c r="G127" s="13" t="inlineStr">
        <is>
          <t>https://www.uniplaces.com/city-explorer/aluguel-para-expatriados-em-portugal/</t>
        </is>
      </c>
      <c r="H127" s="10" t="inlineStr">
        <is>
          <t>Brazilian-Portuguese guide for expats renting</t>
        </is>
      </c>
      <c r="I127" s="10" t="n">
        <v>2026</v>
      </c>
      <c r="J127" s="10" t="inlineStr">
        <is>
          <t>Search result</t>
        </is>
      </c>
      <c r="K127" s="10" t="inlineStr">
        <is>
          <t>Owner or marketing lead</t>
        </is>
      </c>
      <c r="L127" s="10" t="inlineStr">
        <is>
          <t>LinkedIn (named role), then company email</t>
        </is>
      </c>
      <c r="M127" s="10" t="inlineStr">
        <is>
          <t>Bronze</t>
        </is>
      </c>
      <c r="N127" s="14">
        <f>INDEX(Settings!$B$4:$B$15,MATCH(M127,Settings!$A$4:$A$15,0))</f>
        <v/>
      </c>
      <c r="O127" s="15">
        <f>IF(E127="A",IF(I127&gt;=2022,Settings!$B$18,Settings!$B$19),IF(E127="B",Settings!$B$20,Settings!$B$21))+IF(F127="S",Settings!$B$22,0)</f>
        <v/>
      </c>
      <c r="P127" s="14">
        <f>N127*O127</f>
        <v/>
      </c>
      <c r="Q127" s="16">
        <f>P127*INDEX(Settings!$B$25:$B$27,MATCH(F127,Settings!$A$25:$A$27,0))</f>
        <v/>
      </c>
      <c r="R127" s="10" t="inlineStr">
        <is>
          <t>To contact</t>
        </is>
      </c>
      <c r="S127" s="10" t="inlineStr">
        <is>
          <t>Email 1 + LinkedIn request on day 2</t>
        </is>
      </c>
      <c r="T127" s="10" t="inlineStr">
        <is>
          <t>2026-11-04</t>
        </is>
      </c>
      <c r="U127" s="10" t="inlineStr">
        <is>
          <t>Partner</t>
        </is>
      </c>
      <c r="V127" s="10" t="inlineStr">
        <is>
          <t>not assessed</t>
        </is>
      </c>
    </row>
    <row r="128">
      <c r="A128" s="10" t="inlineStr">
        <is>
          <t>S075</t>
        </is>
      </c>
      <c r="B128" s="11" t="inlineStr">
        <is>
          <t>Antas da Cunha Ecija</t>
        </is>
      </c>
      <c r="C128" s="10" t="inlineStr">
        <is>
          <t>Law firm</t>
        </is>
      </c>
      <c r="D128" s="10" t="inlineStr">
        <is>
          <t>LU, FR, CH, BR</t>
        </is>
      </c>
      <c r="E128" s="12" t="inlineStr">
        <is>
          <t>A</t>
        </is>
      </c>
      <c r="F128" s="10" t="inlineStr">
        <is>
          <t>L</t>
        </is>
      </c>
      <c r="G128" s="10" t="n"/>
      <c r="H128" s="10" t="inlineStr">
        <is>
          <t>Large or generic; no proof of spend on our audience</t>
        </is>
      </c>
      <c r="I128" s="10" t="n"/>
      <c r="J128" s="10" t="n"/>
      <c r="K128" s="10" t="inlineStr">
        <is>
          <t>Managing partner or business development</t>
        </is>
      </c>
      <c r="L128" s="10" t="inlineStr">
        <is>
          <t>Website: ecija.com</t>
        </is>
      </c>
      <c r="M128" s="10" t="inlineStr">
        <is>
          <t>Silver</t>
        </is>
      </c>
      <c r="N128" s="14">
        <f>INDEX(Settings!$B$4:$B$15,MATCH(M128,Settings!$A$4:$A$15,0))</f>
        <v/>
      </c>
      <c r="O128" s="15">
        <f>IF(E128="A",IF(I128&gt;=2022,Settings!$B$18,Settings!$B$19),IF(E128="B",Settings!$B$20,Settings!$B$21))+IF(F128="S",Settings!$B$22,0)</f>
        <v/>
      </c>
      <c r="P128" s="14">
        <f>N128*O128</f>
        <v/>
      </c>
      <c r="Q128" s="16">
        <f>P128*INDEX(Settings!$B$25:$B$27,MATCH(F128,Settings!$A$25:$A$27,0))</f>
        <v/>
      </c>
      <c r="R128" s="10" t="inlineStr">
        <is>
          <t>Parked</t>
        </is>
      </c>
      <c r="S128" s="10" t="inlineStr">
        <is>
          <t>Approach with brochure (D40)</t>
        </is>
      </c>
      <c r="T128" s="10" t="inlineStr">
        <is>
          <t>2026-12-01</t>
        </is>
      </c>
      <c r="U128" s="10" t="inlineStr">
        <is>
          <t>CEO</t>
        </is>
      </c>
      <c r="V128" s="10" t="inlineStr">
        <is>
          <t>not assessed</t>
        </is>
      </c>
    </row>
    <row r="129">
      <c r="A129" s="10" t="inlineStr">
        <is>
          <t>S077</t>
        </is>
      </c>
      <c r="B129" s="11" t="inlineStr">
        <is>
          <t>Avenue</t>
        </is>
      </c>
      <c r="C129" s="10" t="inlineStr">
        <is>
          <t>Developer</t>
        </is>
      </c>
      <c r="D129" s="10" t="inlineStr">
        <is>
          <t>LU, FR, CH, BR</t>
        </is>
      </c>
      <c r="E129" s="12" t="inlineStr">
        <is>
          <t>A</t>
        </is>
      </c>
      <c r="F129" s="10" t="inlineStr">
        <is>
          <t>L</t>
        </is>
      </c>
      <c r="G129" s="10" t="n"/>
      <c r="H129" s="10" t="inlineStr">
        <is>
          <t>Large or generic; no proof of spend on our audience</t>
        </is>
      </c>
      <c r="I129" s="10" t="n"/>
      <c r="J129" s="10" t="n"/>
      <c r="K129" s="10" t="inlineStr">
        <is>
          <t>Sales or marketing director</t>
        </is>
      </c>
      <c r="L129" s="10" t="inlineStr">
        <is>
          <t>LinkedIn (named role); general partnerships email as backup</t>
        </is>
      </c>
      <c r="M129" s="10" t="inlineStr">
        <is>
          <t>Silver</t>
        </is>
      </c>
      <c r="N129" s="14">
        <f>INDEX(Settings!$B$4:$B$15,MATCH(M129,Settings!$A$4:$A$15,0))</f>
        <v/>
      </c>
      <c r="O129" s="15">
        <f>IF(E129="A",IF(I129&gt;=2022,Settings!$B$18,Settings!$B$19),IF(E129="B",Settings!$B$20,Settings!$B$21))+IF(F129="S",Settings!$B$22,0)</f>
        <v/>
      </c>
      <c r="P129" s="14">
        <f>N129*O129</f>
        <v/>
      </c>
      <c r="Q129" s="16">
        <f>P129*INDEX(Settings!$B$25:$B$27,MATCH(F129,Settings!$A$25:$A$27,0))</f>
        <v/>
      </c>
      <c r="R129" s="10" t="inlineStr">
        <is>
          <t>Parked</t>
        </is>
      </c>
      <c r="S129" s="10" t="inlineStr">
        <is>
          <t>Approach with brochure (D40)</t>
        </is>
      </c>
      <c r="T129" s="10" t="inlineStr">
        <is>
          <t>2026-12-01</t>
        </is>
      </c>
      <c r="U129" s="10" t="inlineStr">
        <is>
          <t>CEO</t>
        </is>
      </c>
      <c r="V129" s="10" t="inlineStr">
        <is>
          <t>not assessed</t>
        </is>
      </c>
    </row>
    <row r="130">
      <c r="A130" s="10" t="inlineStr">
        <is>
          <t>S086</t>
        </is>
      </c>
      <c r="B130" s="11" t="inlineStr">
        <is>
          <t>Currencies Direct</t>
        </is>
      </c>
      <c r="C130" s="10" t="inlineStr">
        <is>
          <t>FX</t>
        </is>
      </c>
      <c r="D130" s="10" t="inlineStr">
        <is>
          <t>LU, FR, CH, BR</t>
        </is>
      </c>
      <c r="E130" s="12" t="inlineStr">
        <is>
          <t>A</t>
        </is>
      </c>
      <c r="F130" s="10" t="inlineStr">
        <is>
          <t>L</t>
        </is>
      </c>
      <c r="G130" s="10" t="n"/>
      <c r="H130" s="10" t="inlineStr">
        <is>
          <t>Large or generic; no proof of spend on our audience</t>
        </is>
      </c>
      <c r="I130" s="10" t="n"/>
      <c r="J130" s="10" t="n"/>
      <c r="K130" s="10" t="inlineStr">
        <is>
          <t>Partnerships / affiliates manager</t>
        </is>
      </c>
      <c r="L130" s="10" t="inlineStr">
        <is>
          <t>Website: currenciesdirect.com</t>
        </is>
      </c>
      <c r="M130" s="10" t="inlineStr">
        <is>
          <t>Silver</t>
        </is>
      </c>
      <c r="N130" s="14">
        <f>INDEX(Settings!$B$4:$B$15,MATCH(M130,Settings!$A$4:$A$15,0))</f>
        <v/>
      </c>
      <c r="O130" s="15">
        <f>IF(E130="A",IF(I130&gt;=2022,Settings!$B$18,Settings!$B$19),IF(E130="B",Settings!$B$20,Settings!$B$21))+IF(F130="S",Settings!$B$22,0)</f>
        <v/>
      </c>
      <c r="P130" s="14">
        <f>N130*O130</f>
        <v/>
      </c>
      <c r="Q130" s="16">
        <f>P130*INDEX(Settings!$B$25:$B$27,MATCH(F130,Settings!$A$25:$A$27,0))</f>
        <v/>
      </c>
      <c r="R130" s="10" t="inlineStr">
        <is>
          <t>Parked</t>
        </is>
      </c>
      <c r="S130" s="10" t="inlineStr">
        <is>
          <t>Approach with brochure (D40)</t>
        </is>
      </c>
      <c r="T130" s="10" t="inlineStr">
        <is>
          <t>2026-12-01</t>
        </is>
      </c>
      <c r="U130" s="10" t="inlineStr">
        <is>
          <t>CEO</t>
        </is>
      </c>
      <c r="V130" s="10" t="inlineStr">
        <is>
          <t>not assessed</t>
        </is>
      </c>
    </row>
    <row r="131">
      <c r="A131" s="10" t="inlineStr">
        <is>
          <t>S121</t>
        </is>
      </c>
      <c r="B131" s="11" t="inlineStr">
        <is>
          <t>VIC Properties</t>
        </is>
      </c>
      <c r="C131" s="10" t="inlineStr">
        <is>
          <t>Developer</t>
        </is>
      </c>
      <c r="D131" s="10" t="inlineStr">
        <is>
          <t>LU, FR, CH, BR</t>
        </is>
      </c>
      <c r="E131" s="12" t="inlineStr">
        <is>
          <t>A</t>
        </is>
      </c>
      <c r="F131" s="10" t="inlineStr">
        <is>
          <t>L</t>
        </is>
      </c>
      <c r="G131" s="10" t="n"/>
      <c r="H131" s="10" t="inlineStr">
        <is>
          <t>Large or generic; no proof of spend on our audience</t>
        </is>
      </c>
      <c r="I131" s="10" t="n"/>
      <c r="J131" s="10" t="n"/>
      <c r="K131" s="10" t="inlineStr">
        <is>
          <t>Sales or marketing director</t>
        </is>
      </c>
      <c r="L131" s="10" t="inlineStr">
        <is>
          <t>Website: vic-properties.com</t>
        </is>
      </c>
      <c r="M131" s="10" t="inlineStr">
        <is>
          <t>Silver</t>
        </is>
      </c>
      <c r="N131" s="14">
        <f>INDEX(Settings!$B$4:$B$15,MATCH(M131,Settings!$A$4:$A$15,0))</f>
        <v/>
      </c>
      <c r="O131" s="15">
        <f>IF(E131="A",IF(I131&gt;=2022,Settings!$B$18,Settings!$B$19),IF(E131="B",Settings!$B$20,Settings!$B$21))+IF(F131="S",Settings!$B$22,0)</f>
        <v/>
      </c>
      <c r="P131" s="14">
        <f>N131*O131</f>
        <v/>
      </c>
      <c r="Q131" s="16">
        <f>P131*INDEX(Settings!$B$25:$B$27,MATCH(F131,Settings!$A$25:$A$27,0))</f>
        <v/>
      </c>
      <c r="R131" s="10" t="inlineStr">
        <is>
          <t>Parked</t>
        </is>
      </c>
      <c r="S131" s="10" t="inlineStr">
        <is>
          <t>Approach with brochure (D40)</t>
        </is>
      </c>
      <c r="T131" s="10" t="inlineStr">
        <is>
          <t>2026-12-01</t>
        </is>
      </c>
      <c r="U131" s="10" t="inlineStr">
        <is>
          <t>CEO</t>
        </is>
      </c>
      <c r="V131" s="10" t="inlineStr">
        <is>
          <t>not assessed</t>
        </is>
      </c>
    </row>
    <row r="132">
      <c r="A132" s="10" t="inlineStr">
        <is>
          <t>S123</t>
        </is>
      </c>
      <c r="B132" s="11" t="inlineStr">
        <is>
          <t>Vanguard Properties</t>
        </is>
      </c>
      <c r="C132" s="10" t="inlineStr">
        <is>
          <t>Developer</t>
        </is>
      </c>
      <c r="D132" s="10" t="inlineStr">
        <is>
          <t>LU, FR, CH, BR</t>
        </is>
      </c>
      <c r="E132" s="12" t="inlineStr">
        <is>
          <t>A</t>
        </is>
      </c>
      <c r="F132" s="10" t="inlineStr">
        <is>
          <t>L</t>
        </is>
      </c>
      <c r="G132" s="10" t="n"/>
      <c r="H132" s="10" t="inlineStr">
        <is>
          <t>Large or generic; no proof of spend on our audience</t>
        </is>
      </c>
      <c r="I132" s="10" t="n"/>
      <c r="J132" s="10" t="n"/>
      <c r="K132" s="10" t="inlineStr">
        <is>
          <t>Sales or marketing director</t>
        </is>
      </c>
      <c r="L132" s="10" t="inlineStr">
        <is>
          <t>Website: vangproperties.com</t>
        </is>
      </c>
      <c r="M132" s="10" t="inlineStr">
        <is>
          <t>Silver</t>
        </is>
      </c>
      <c r="N132" s="14">
        <f>INDEX(Settings!$B$4:$B$15,MATCH(M132,Settings!$A$4:$A$15,0))</f>
        <v/>
      </c>
      <c r="O132" s="15">
        <f>IF(E132="A",IF(I132&gt;=2022,Settings!$B$18,Settings!$B$19),IF(E132="B",Settings!$B$20,Settings!$B$21))+IF(F132="S",Settings!$B$22,0)</f>
        <v/>
      </c>
      <c r="P132" s="14">
        <f>N132*O132</f>
        <v/>
      </c>
      <c r="Q132" s="16">
        <f>P132*INDEX(Settings!$B$25:$B$27,MATCH(F132,Settings!$A$25:$A$27,0))</f>
        <v/>
      </c>
      <c r="R132" s="10" t="inlineStr">
        <is>
          <t>Parked</t>
        </is>
      </c>
      <c r="S132" s="10" t="inlineStr">
        <is>
          <t>Approach with brochure (D40)</t>
        </is>
      </c>
      <c r="T132" s="10" t="inlineStr">
        <is>
          <t>2026-12-01</t>
        </is>
      </c>
      <c r="U132" s="10" t="inlineStr">
        <is>
          <t>CEO</t>
        </is>
      </c>
      <c r="V132" s="10" t="inlineStr">
        <is>
          <t>not assessed</t>
        </is>
      </c>
    </row>
  </sheetData>
  <autoFilter ref="A1:V132"/>
  <dataValidations count="1">
    <dataValidation sqref="R2:R132" showDropDown="0" showInputMessage="0" showErrorMessage="0" allowBlank="0" type="list">
      <formula1>"To contact,Contacted,Replied,Call booked,Proposal sent,Won,Lost,Parked"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0" customWidth="1" min="2" max="2"/>
    <col width="24" customWidth="1" min="3" max="3"/>
    <col width="14" customWidth="1" min="4" max="4"/>
    <col width="6" customWidth="1" min="5" max="5"/>
    <col width="6" customWidth="1" min="6" max="6"/>
    <col width="34" customWidth="1" min="7" max="7"/>
    <col width="50" customWidth="1" min="8" max="8"/>
    <col width="9" customWidth="1" min="9" max="9"/>
    <col width="13" customWidth="1" min="10" max="10"/>
    <col width="30" customWidth="1" min="11" max="11"/>
    <col width="30" customWidth="1" min="12" max="12"/>
    <col width="16" customWidth="1" min="13" max="13"/>
    <col width="13" customWidth="1" min="14" max="14"/>
    <col width="11" customWidth="1" min="15" max="15"/>
    <col width="13" customWidth="1" min="16" max="16"/>
    <col width="11" customWidth="1" min="17" max="17"/>
    <col width="14" customWidth="1" min="18" max="18"/>
    <col width="36" customWidth="1" min="19" max="19"/>
    <col width="13" customWidth="1" min="20" max="20"/>
    <col width="10" customWidth="1" min="21" max="21"/>
    <col width="16" customWidth="1" min="22" max="22"/>
  </cols>
  <sheetData>
    <row r="1" ht="32" customHeight="1">
      <c r="A1" s="9" t="inlineStr">
        <is>
          <t>ID</t>
        </is>
      </c>
      <c r="B1" s="9" t="inlineStr">
        <is>
          <t>Company</t>
        </is>
      </c>
      <c r="C1" s="9" t="inlineStr">
        <is>
          <t>Sector</t>
        </is>
      </c>
      <c r="D1" s="9" t="inlineStr">
        <is>
          <t>Editions</t>
        </is>
      </c>
      <c r="E1" s="9" t="inlineStr">
        <is>
          <t>Tier</t>
        </is>
      </c>
      <c r="F1" s="9" t="inlineStr">
        <is>
          <t>Size</t>
        </is>
      </c>
      <c r="G1" s="9" t="inlineStr">
        <is>
          <t>Evidence URL</t>
        </is>
      </c>
      <c r="H1" s="9" t="inlineStr">
        <is>
          <t>Evidence</t>
        </is>
      </c>
      <c r="I1" s="9" t="inlineStr">
        <is>
          <t>Evidence year</t>
        </is>
      </c>
      <c r="J1" s="9" t="inlineStr">
        <is>
          <t>Evidence check</t>
        </is>
      </c>
      <c r="K1" s="9" t="inlineStr">
        <is>
          <t>Who to reach</t>
        </is>
      </c>
      <c r="L1" s="9" t="inlineStr">
        <is>
          <t>Channel</t>
        </is>
      </c>
      <c r="M1" s="9" t="inlineStr">
        <is>
          <t>Offer</t>
        </is>
      </c>
      <c r="N1" s="9" t="inlineStr">
        <is>
          <t>Deal value year 1 (€)</t>
        </is>
      </c>
      <c r="O1" s="9" t="inlineStr">
        <is>
          <t>Close probability</t>
        </is>
      </c>
      <c r="P1" s="9" t="inlineStr">
        <is>
          <t>Expected value (€)</t>
        </is>
      </c>
      <c r="Q1" s="9" t="inlineStr">
        <is>
          <t>Priority score</t>
        </is>
      </c>
      <c r="R1" s="9" t="inlineStr">
        <is>
          <t>Status</t>
        </is>
      </c>
      <c r="S1" s="9" t="inlineStr">
        <is>
          <t>Next action</t>
        </is>
      </c>
      <c r="T1" s="9" t="inlineStr">
        <is>
          <t>Next action date</t>
        </is>
      </c>
      <c r="U1" s="9" t="inlineStr">
        <is>
          <t>Owner</t>
        </is>
      </c>
      <c r="V1" s="9" t="inlineStr">
        <is>
          <t>Capital origin</t>
        </is>
      </c>
    </row>
    <row r="2">
      <c r="A2" s="10" t="inlineStr">
        <is>
          <t>S071</t>
        </is>
      </c>
      <c r="B2" s="11" t="inlineStr">
        <is>
          <t>AGS Four Winds</t>
        </is>
      </c>
      <c r="C2" s="10" t="inlineStr">
        <is>
          <t>Moving</t>
        </is>
      </c>
      <c r="D2" s="10" t="inlineStr">
        <is>
          <t>LU, FR, CH, BR</t>
        </is>
      </c>
      <c r="E2" s="10" t="inlineStr">
        <is>
          <t>C</t>
        </is>
      </c>
      <c r="F2" s="10" t="inlineStr">
        <is>
          <t>L</t>
        </is>
      </c>
      <c r="G2" s="10" t="n"/>
      <c r="H2" s="10" t="inlineStr">
        <is>
          <t>Large or generic; no proof of spend on our audience</t>
        </is>
      </c>
      <c r="I2" s="10" t="n"/>
      <c r="J2" s="10" t="n"/>
      <c r="K2" s="10" t="inlineStr">
        <is>
          <t>Owner or marketing lead</t>
        </is>
      </c>
      <c r="L2" s="10" t="inlineStr">
        <is>
          <t>LinkedIn (named role); general partnerships email as backup</t>
        </is>
      </c>
      <c r="M2" s="10" t="inlineStr">
        <is>
          <t>Silver</t>
        </is>
      </c>
      <c r="N2" s="14">
        <f>INDEX(Settings!$B$4:$B$15,MATCH(M2,Settings!$A$4:$A$15,0))</f>
        <v/>
      </c>
      <c r="O2" s="15">
        <f>IF(E2="A",IF(I2&gt;=2022,Settings!$B$18,Settings!$B$19),IF(E2="B",Settings!$B$20,Settings!$B$21))+IF(F2="S",Settings!$B$22,0)</f>
        <v/>
      </c>
      <c r="P2" s="14">
        <f>N2*O2</f>
        <v/>
      </c>
      <c r="Q2" s="16">
        <f>P2*INDEX(Settings!$B$25:$B$27,MATCH(F2,Settings!$A$25:$A$27,0))</f>
        <v/>
      </c>
      <c r="R2" s="10" t="inlineStr">
        <is>
          <t>Parked</t>
        </is>
      </c>
      <c r="S2" s="10" t="inlineStr">
        <is>
          <t>Revisit when 1,000 subscribers or a warm intro exists</t>
        </is>
      </c>
      <c r="T2" s="10" t="inlineStr">
        <is>
          <t>2026-12-01</t>
        </is>
      </c>
      <c r="U2" s="10" t="inlineStr">
        <is>
          <t>CEO</t>
        </is>
      </c>
      <c r="V2" s="10" t="inlineStr">
        <is>
          <t>not assessed</t>
        </is>
      </c>
    </row>
    <row r="3">
      <c r="A3" s="10" t="inlineStr">
        <is>
          <t>S150</t>
        </is>
      </c>
      <c r="B3" s="11" t="inlineStr">
        <is>
          <t>ARAG</t>
        </is>
      </c>
      <c r="C3" s="10" t="inlineStr">
        <is>
          <t>Insurance</t>
        </is>
      </c>
      <c r="D3" s="10" t="inlineStr">
        <is>
          <t>LU, FR, CH, BR, US, IL</t>
        </is>
      </c>
      <c r="E3" s="10" t="inlineStr">
        <is>
          <t>C</t>
        </is>
      </c>
      <c r="F3" s="10" t="inlineStr">
        <is>
          <t>L</t>
        </is>
      </c>
      <c r="G3" s="13" t="inlineStr">
        <is>
          <t>https://www.doutorfinancas.pt/seguro-vida-geral/</t>
        </is>
      </c>
      <c r="H3" s="10" t="inlineStr">
        <is>
          <t>Insurer listed as a partner by Doutor Finanças' insurance intermediary (Doutor Finanças Protege) (prompt 13); no proof of spend on our audience</t>
        </is>
      </c>
      <c r="I3" s="10" t="n">
        <v>2026</v>
      </c>
      <c r="J3" s="10" t="inlineStr">
        <is>
          <t>Fetched</t>
        </is>
      </c>
      <c r="K3" s="10" t="inlineStr">
        <is>
          <t>Marketing lead, intermediary / partnerships</t>
        </is>
      </c>
      <c r="L3" s="10" t="inlineStr">
        <is>
          <t>LinkedIn (named role); general partnerships email as backup</t>
        </is>
      </c>
      <c r="M3" s="10" t="inlineStr">
        <is>
          <t>Silver</t>
        </is>
      </c>
      <c r="N3" s="14">
        <f>INDEX(Settings!$B$4:$B$15,MATCH(M3,Settings!$A$4:$A$15,0))</f>
        <v/>
      </c>
      <c r="O3" s="15">
        <f>IF(E3="A",IF(I3&gt;=2022,Settings!$B$18,Settings!$B$19),IF(E3="B",Settings!$B$20,Settings!$B$21))+IF(F3="S",Settings!$B$22,0)</f>
        <v/>
      </c>
      <c r="P3" s="14">
        <f>N3*O3</f>
        <v/>
      </c>
      <c r="Q3" s="16">
        <f>P3*INDEX(Settings!$B$25:$B$27,MATCH(F3,Settings!$A$25:$A$27,0))</f>
        <v/>
      </c>
      <c r="R3" s="10" t="inlineStr">
        <is>
          <t>Parked</t>
        </is>
      </c>
      <c r="S3" s="10" t="inlineStr">
        <is>
          <t>Revisit when 1,000 subscribers or a warm intro exists</t>
        </is>
      </c>
      <c r="T3" s="10" t="inlineStr">
        <is>
          <t>2026-12-01</t>
        </is>
      </c>
      <c r="U3" s="10" t="inlineStr">
        <is>
          <t>CEO</t>
        </is>
      </c>
      <c r="V3" s="10" t="inlineStr">
        <is>
          <t>not assessed</t>
        </is>
      </c>
    </row>
    <row r="4">
      <c r="A4" s="10" t="inlineStr">
        <is>
          <t>S072</t>
        </is>
      </c>
      <c r="B4" s="11" t="inlineStr">
        <is>
          <t>Allianz Portugal</t>
        </is>
      </c>
      <c r="C4" s="10" t="inlineStr">
        <is>
          <t>Insurance</t>
        </is>
      </c>
      <c r="D4" s="10" t="inlineStr">
        <is>
          <t>LU, FR, CH, BR</t>
        </is>
      </c>
      <c r="E4" s="10" t="inlineStr">
        <is>
          <t>C</t>
        </is>
      </c>
      <c r="F4" s="10" t="inlineStr">
        <is>
          <t>L</t>
        </is>
      </c>
      <c r="G4" s="10" t="n"/>
      <c r="H4" s="10" t="inlineStr">
        <is>
          <t>Large or generic; no proof of spend on our audience</t>
        </is>
      </c>
      <c r="I4" s="10" t="n"/>
      <c r="J4" s="10" t="n"/>
      <c r="K4" s="10" t="inlineStr">
        <is>
          <t>Marketing lead, retail</t>
        </is>
      </c>
      <c r="L4" s="10" t="inlineStr">
        <is>
          <t>LinkedIn (named role); general partnerships email as backup</t>
        </is>
      </c>
      <c r="M4" s="10" t="inlineStr">
        <is>
          <t>Silver</t>
        </is>
      </c>
      <c r="N4" s="14">
        <f>INDEX(Settings!$B$4:$B$15,MATCH(M4,Settings!$A$4:$A$15,0))</f>
        <v/>
      </c>
      <c r="O4" s="15">
        <f>IF(E4="A",IF(I4&gt;=2022,Settings!$B$18,Settings!$B$19),IF(E4="B",Settings!$B$20,Settings!$B$21))+IF(F4="S",Settings!$B$22,0)</f>
        <v/>
      </c>
      <c r="P4" s="14">
        <f>N4*O4</f>
        <v/>
      </c>
      <c r="Q4" s="16">
        <f>P4*INDEX(Settings!$B$25:$B$27,MATCH(F4,Settings!$A$25:$A$27,0))</f>
        <v/>
      </c>
      <c r="R4" s="10" t="inlineStr">
        <is>
          <t>Parked</t>
        </is>
      </c>
      <c r="S4" s="10" t="inlineStr">
        <is>
          <t>Revisit when 1,000 subscribers or a warm intro exists</t>
        </is>
      </c>
      <c r="T4" s="10" t="inlineStr">
        <is>
          <t>2026-12-01</t>
        </is>
      </c>
      <c r="U4" s="10" t="inlineStr">
        <is>
          <t>CEO</t>
        </is>
      </c>
      <c r="V4" s="10" t="inlineStr">
        <is>
          <t>not assessed</t>
        </is>
      </c>
    </row>
    <row r="5">
      <c r="A5" s="10" t="inlineStr">
        <is>
          <t>S073</t>
        </is>
      </c>
      <c r="B5" s="11" t="inlineStr">
        <is>
          <t>Allied Pickfords</t>
        </is>
      </c>
      <c r="C5" s="10" t="inlineStr">
        <is>
          <t>Moving</t>
        </is>
      </c>
      <c r="D5" s="10" t="inlineStr">
        <is>
          <t>LU, FR, CH, BR</t>
        </is>
      </c>
      <c r="E5" s="10" t="inlineStr">
        <is>
          <t>C</t>
        </is>
      </c>
      <c r="F5" s="10" t="inlineStr">
        <is>
          <t>L</t>
        </is>
      </c>
      <c r="G5" s="10" t="n"/>
      <c r="H5" s="10" t="inlineStr">
        <is>
          <t>Large or generic; no proof of spend on our audience</t>
        </is>
      </c>
      <c r="I5" s="10" t="n"/>
      <c r="J5" s="10" t="n"/>
      <c r="K5" s="10" t="inlineStr">
        <is>
          <t>Owner or marketing lead</t>
        </is>
      </c>
      <c r="L5" s="10" t="inlineStr">
        <is>
          <t>LinkedIn (named role); general partnerships email as backup</t>
        </is>
      </c>
      <c r="M5" s="10" t="inlineStr">
        <is>
          <t>Silver</t>
        </is>
      </c>
      <c r="N5" s="14">
        <f>INDEX(Settings!$B$4:$B$15,MATCH(M5,Settings!$A$4:$A$15,0))</f>
        <v/>
      </c>
      <c r="O5" s="15">
        <f>IF(E5="A",IF(I5&gt;=2022,Settings!$B$18,Settings!$B$19),IF(E5="B",Settings!$B$20,Settings!$B$21))+IF(F5="S",Settings!$B$22,0)</f>
        <v/>
      </c>
      <c r="P5" s="14">
        <f>N5*O5</f>
        <v/>
      </c>
      <c r="Q5" s="16">
        <f>P5*INDEX(Settings!$B$25:$B$27,MATCH(F5,Settings!$A$25:$A$27,0))</f>
        <v/>
      </c>
      <c r="R5" s="10" t="inlineStr">
        <is>
          <t>Parked</t>
        </is>
      </c>
      <c r="S5" s="10" t="inlineStr">
        <is>
          <t>Revisit when 1,000 subscribers or a warm intro exists</t>
        </is>
      </c>
      <c r="T5" s="10" t="inlineStr">
        <is>
          <t>2026-12-01</t>
        </is>
      </c>
      <c r="U5" s="10" t="inlineStr">
        <is>
          <t>CEO</t>
        </is>
      </c>
      <c r="V5" s="10" t="inlineStr">
        <is>
          <t>not assessed</t>
        </is>
      </c>
    </row>
    <row r="6">
      <c r="A6" s="10" t="inlineStr">
        <is>
          <t>S074</t>
        </is>
      </c>
      <c r="B6" s="11" t="inlineStr">
        <is>
          <t>Altido</t>
        </is>
      </c>
      <c r="C6" s="10" t="inlineStr">
        <is>
          <t>Rental management</t>
        </is>
      </c>
      <c r="D6" s="10" t="inlineStr">
        <is>
          <t>LU, FR, CH, BR</t>
        </is>
      </c>
      <c r="E6" s="10" t="inlineStr">
        <is>
          <t>C</t>
        </is>
      </c>
      <c r="F6" s="10" t="inlineStr">
        <is>
          <t>L</t>
        </is>
      </c>
      <c r="G6" s="10" t="n"/>
      <c r="H6" s="10" t="inlineStr">
        <is>
          <t>Large or generic; no proof of spend on our audience</t>
        </is>
      </c>
      <c r="I6" s="10" t="n"/>
      <c r="J6" s="10" t="n"/>
      <c r="K6" s="10" t="inlineStr">
        <is>
          <t>Owner or marketing lead</t>
        </is>
      </c>
      <c r="L6" s="10" t="inlineStr">
        <is>
          <t>LinkedIn (named role); general partnerships email as backup</t>
        </is>
      </c>
      <c r="M6" s="10" t="inlineStr">
        <is>
          <t>Silver</t>
        </is>
      </c>
      <c r="N6" s="14">
        <f>INDEX(Settings!$B$4:$B$15,MATCH(M6,Settings!$A$4:$A$15,0))</f>
        <v/>
      </c>
      <c r="O6" s="15">
        <f>IF(E6="A",IF(I6&gt;=2022,Settings!$B$18,Settings!$B$19),IF(E6="B",Settings!$B$20,Settings!$B$21))+IF(F6="S",Settings!$B$22,0)</f>
        <v/>
      </c>
      <c r="P6" s="14">
        <f>N6*O6</f>
        <v/>
      </c>
      <c r="Q6" s="16">
        <f>P6*INDEX(Settings!$B$25:$B$27,MATCH(F6,Settings!$A$25:$A$27,0))</f>
        <v/>
      </c>
      <c r="R6" s="10" t="inlineStr">
        <is>
          <t>Parked</t>
        </is>
      </c>
      <c r="S6" s="10" t="inlineStr">
        <is>
          <t>Revisit when 1,000 subscribers or a warm intro exists</t>
        </is>
      </c>
      <c r="T6" s="10" t="inlineStr">
        <is>
          <t>2026-12-01</t>
        </is>
      </c>
      <c r="U6" s="10" t="inlineStr">
        <is>
          <t>CEO</t>
        </is>
      </c>
      <c r="V6" s="10" t="inlineStr">
        <is>
          <t>not assessed</t>
        </is>
      </c>
    </row>
    <row r="7">
      <c r="A7" s="10" t="inlineStr">
        <is>
          <t>S144</t>
        </is>
      </c>
      <c r="B7" s="11" t="inlineStr">
        <is>
          <t>April Portugal</t>
        </is>
      </c>
      <c r="C7" s="10" t="inlineStr">
        <is>
          <t>Insurance</t>
        </is>
      </c>
      <c r="D7" s="10" t="inlineStr">
        <is>
          <t>LU, FR, CH, BR, US, IL</t>
        </is>
      </c>
      <c r="E7" s="10" t="inlineStr">
        <is>
          <t>C</t>
        </is>
      </c>
      <c r="F7" s="10" t="inlineStr">
        <is>
          <t>L</t>
        </is>
      </c>
      <c r="G7" s="13" t="inlineStr">
        <is>
          <t>https://www.doutorfinancas.pt/seguro-vida-geral/</t>
        </is>
      </c>
      <c r="H7" s="10" t="inlineStr">
        <is>
          <t>Insurer listed as a partner by Doutor Finanças' insurance intermediary (Doutor Finanças Protege) (prompt 13); no proof of spend on our audience</t>
        </is>
      </c>
      <c r="I7" s="10" t="n">
        <v>2026</v>
      </c>
      <c r="J7" s="10" t="inlineStr">
        <is>
          <t>Fetched</t>
        </is>
      </c>
      <c r="K7" s="10" t="inlineStr">
        <is>
          <t>Marketing lead, intermediary / partnerships</t>
        </is>
      </c>
      <c r="L7" s="10" t="inlineStr">
        <is>
          <t>LinkedIn (named role); general partnerships email as backup</t>
        </is>
      </c>
      <c r="M7" s="10" t="inlineStr">
        <is>
          <t>Silver</t>
        </is>
      </c>
      <c r="N7" s="14">
        <f>INDEX(Settings!$B$4:$B$15,MATCH(M7,Settings!$A$4:$A$15,0))</f>
        <v/>
      </c>
      <c r="O7" s="15">
        <f>IF(E7="A",IF(I7&gt;=2022,Settings!$B$18,Settings!$B$19),IF(E7="B",Settings!$B$20,Settings!$B$21))+IF(F7="S",Settings!$B$22,0)</f>
        <v/>
      </c>
      <c r="P7" s="14">
        <f>N7*O7</f>
        <v/>
      </c>
      <c r="Q7" s="16">
        <f>P7*INDEX(Settings!$B$25:$B$27,MATCH(F7,Settings!$A$25:$A$27,0))</f>
        <v/>
      </c>
      <c r="R7" s="10" t="inlineStr">
        <is>
          <t>Parked</t>
        </is>
      </c>
      <c r="S7" s="10" t="inlineStr">
        <is>
          <t>Revisit when 1,000 subscribers or a warm intro exists</t>
        </is>
      </c>
      <c r="T7" s="10" t="inlineStr">
        <is>
          <t>2026-12-01</t>
        </is>
      </c>
      <c r="U7" s="10" t="inlineStr">
        <is>
          <t>CEO</t>
        </is>
      </c>
      <c r="V7" s="10" t="inlineStr">
        <is>
          <t>not assessed</t>
        </is>
      </c>
    </row>
    <row r="8">
      <c r="A8" s="10" t="inlineStr">
        <is>
          <t>S146</t>
        </is>
      </c>
      <c r="B8" s="11" t="inlineStr">
        <is>
          <t>Asisa</t>
        </is>
      </c>
      <c r="C8" s="10" t="inlineStr">
        <is>
          <t>Insurance</t>
        </is>
      </c>
      <c r="D8" s="10" t="inlineStr">
        <is>
          <t>LU, FR, CH, BR, US, IL</t>
        </is>
      </c>
      <c r="E8" s="10" t="inlineStr">
        <is>
          <t>C</t>
        </is>
      </c>
      <c r="F8" s="10" t="inlineStr">
        <is>
          <t>L</t>
        </is>
      </c>
      <c r="G8" s="13" t="inlineStr">
        <is>
          <t>https://www.doutorfinancas.pt/seguro-vida-geral/</t>
        </is>
      </c>
      <c r="H8" s="10" t="inlineStr">
        <is>
          <t>Insurer listed as a partner by Doutor Finanças' insurance intermediary (Doutor Finanças Protege) (prompt 13); no proof of spend on our audience</t>
        </is>
      </c>
      <c r="I8" s="10" t="n">
        <v>2026</v>
      </c>
      <c r="J8" s="10" t="inlineStr">
        <is>
          <t>Fetched</t>
        </is>
      </c>
      <c r="K8" s="10" t="inlineStr">
        <is>
          <t>Marketing lead, intermediary / partnerships</t>
        </is>
      </c>
      <c r="L8" s="10" t="inlineStr">
        <is>
          <t>LinkedIn (named role); general partnerships email as backup</t>
        </is>
      </c>
      <c r="M8" s="10" t="inlineStr">
        <is>
          <t>Silver</t>
        </is>
      </c>
      <c r="N8" s="14">
        <f>INDEX(Settings!$B$4:$B$15,MATCH(M8,Settings!$A$4:$A$15,0))</f>
        <v/>
      </c>
      <c r="O8" s="15">
        <f>IF(E8="A",IF(I8&gt;=2022,Settings!$B$18,Settings!$B$19),IF(E8="B",Settings!$B$20,Settings!$B$21))+IF(F8="S",Settings!$B$22,0)</f>
        <v/>
      </c>
      <c r="P8" s="14">
        <f>N8*O8</f>
        <v/>
      </c>
      <c r="Q8" s="16">
        <f>P8*INDEX(Settings!$B$25:$B$27,MATCH(F8,Settings!$A$25:$A$27,0))</f>
        <v/>
      </c>
      <c r="R8" s="10" t="inlineStr">
        <is>
          <t>Parked</t>
        </is>
      </c>
      <c r="S8" s="10" t="inlineStr">
        <is>
          <t>Revisit when 1,000 subscribers or a warm intro exists</t>
        </is>
      </c>
      <c r="T8" s="10" t="inlineStr">
        <is>
          <t>2026-12-01</t>
        </is>
      </c>
      <c r="U8" s="10" t="inlineStr">
        <is>
          <t>CEO</t>
        </is>
      </c>
      <c r="V8" s="10" t="inlineStr">
        <is>
          <t>not assessed</t>
        </is>
      </c>
    </row>
    <row r="9">
      <c r="A9" s="10" t="inlineStr">
        <is>
          <t>S076</t>
        </is>
      </c>
      <c r="B9" s="11" t="inlineStr">
        <is>
          <t>Atlantic Bridge</t>
        </is>
      </c>
      <c r="C9" s="10" t="inlineStr">
        <is>
          <t>Relocation (Brazil)</t>
        </is>
      </c>
      <c r="D9" s="10" t="inlineStr">
        <is>
          <t>BR</t>
        </is>
      </c>
      <c r="E9" s="10" t="inlineStr">
        <is>
          <t>C</t>
        </is>
      </c>
      <c r="F9" s="10" t="inlineStr">
        <is>
          <t>L</t>
        </is>
      </c>
      <c r="G9" s="10" t="n"/>
      <c r="H9" s="10" t="inlineStr">
        <is>
          <t>Large or generic; no proof of spend on our audience</t>
        </is>
      </c>
      <c r="I9" s="10" t="n"/>
      <c r="J9" s="10" t="n"/>
      <c r="K9" s="10" t="inlineStr">
        <is>
          <t>Owner or marketing lead</t>
        </is>
      </c>
      <c r="L9" s="10" t="inlineStr">
        <is>
          <t>LinkedIn (named role); general partnerships email as backup</t>
        </is>
      </c>
      <c r="M9" s="10" t="inlineStr">
        <is>
          <t>Silver</t>
        </is>
      </c>
      <c r="N9" s="14">
        <f>INDEX(Settings!$B$4:$B$15,MATCH(M9,Settings!$A$4:$A$15,0))</f>
        <v/>
      </c>
      <c r="O9" s="15">
        <f>IF(E9="A",IF(I9&gt;=2022,Settings!$B$18,Settings!$B$19),IF(E9="B",Settings!$B$20,Settings!$B$21))+IF(F9="S",Settings!$B$22,0)</f>
        <v/>
      </c>
      <c r="P9" s="14">
        <f>N9*O9</f>
        <v/>
      </c>
      <c r="Q9" s="16">
        <f>P9*INDEX(Settings!$B$25:$B$27,MATCH(F9,Settings!$A$25:$A$27,0))</f>
        <v/>
      </c>
      <c r="R9" s="10" t="inlineStr">
        <is>
          <t>Parked</t>
        </is>
      </c>
      <c r="S9" s="10" t="inlineStr">
        <is>
          <t>Revisit when 1,000 subscribers or a warm intro exists</t>
        </is>
      </c>
      <c r="T9" s="10" t="inlineStr">
        <is>
          <t>2026-12-01</t>
        </is>
      </c>
      <c r="U9" s="10" t="inlineStr">
        <is>
          <t>CEO</t>
        </is>
      </c>
      <c r="V9" s="10" t="inlineStr">
        <is>
          <t>not assessed</t>
        </is>
      </c>
    </row>
    <row r="10">
      <c r="A10" s="10" t="inlineStr">
        <is>
          <t>S078</t>
        </is>
      </c>
      <c r="B10" s="11" t="inlineStr">
        <is>
          <t>BGL BNP Paribas</t>
        </is>
      </c>
      <c r="C10" s="10" t="inlineStr">
        <is>
          <t>Bank (Luxembourg)</t>
        </is>
      </c>
      <c r="D10" s="10" t="inlineStr">
        <is>
          <t>LU</t>
        </is>
      </c>
      <c r="E10" s="10" t="inlineStr">
        <is>
          <t>C</t>
        </is>
      </c>
      <c r="F10" s="10" t="inlineStr">
        <is>
          <t>L</t>
        </is>
      </c>
      <c r="G10" s="10" t="n"/>
      <c r="H10" s="10" t="inlineStr">
        <is>
          <t>Large or generic; no proof of spend on our audience</t>
        </is>
      </c>
      <c r="I10" s="10" t="n"/>
      <c r="J10" s="10" t="n"/>
      <c r="K10" s="10" t="inlineStr">
        <is>
          <t>Marketing lead, non-resident / emigrant segment</t>
        </is>
      </c>
      <c r="L10" s="10" t="inlineStr">
        <is>
          <t>LinkedIn (named role); general partnerships email as backup</t>
        </is>
      </c>
      <c r="M10" s="10" t="inlineStr">
        <is>
          <t>Gold</t>
        </is>
      </c>
      <c r="N10" s="14">
        <f>INDEX(Settings!$B$4:$B$15,MATCH(M10,Settings!$A$4:$A$15,0))</f>
        <v/>
      </c>
      <c r="O10" s="15">
        <f>IF(E10="A",IF(I10&gt;=2022,Settings!$B$18,Settings!$B$19),IF(E10="B",Settings!$B$20,Settings!$B$21))+IF(F10="S",Settings!$B$22,0)</f>
        <v/>
      </c>
      <c r="P10" s="14">
        <f>N10*O10</f>
        <v/>
      </c>
      <c r="Q10" s="16">
        <f>P10*INDEX(Settings!$B$25:$B$27,MATCH(F10,Settings!$A$25:$A$27,0))</f>
        <v/>
      </c>
      <c r="R10" s="10" t="inlineStr">
        <is>
          <t>Parked</t>
        </is>
      </c>
      <c r="S10" s="10" t="inlineStr">
        <is>
          <t>Revisit when 1,000 subscribers or a warm intro exists</t>
        </is>
      </c>
      <c r="T10" s="10" t="inlineStr">
        <is>
          <t>2026-12-01</t>
        </is>
      </c>
      <c r="U10" s="10" t="inlineStr">
        <is>
          <t>CEO</t>
        </is>
      </c>
      <c r="V10" s="10" t="inlineStr">
        <is>
          <t>not assessed</t>
        </is>
      </c>
    </row>
    <row r="11">
      <c r="A11" s="10" t="inlineStr">
        <is>
          <t>S079</t>
        </is>
      </c>
      <c r="B11" s="11" t="inlineStr">
        <is>
          <t>Banco Inter</t>
        </is>
      </c>
      <c r="C11" s="10" t="inlineStr">
        <is>
          <t>Bank (Brazil)</t>
        </is>
      </c>
      <c r="D11" s="10" t="inlineStr">
        <is>
          <t>BR</t>
        </is>
      </c>
      <c r="E11" s="10" t="inlineStr">
        <is>
          <t>C</t>
        </is>
      </c>
      <c r="F11" s="10" t="inlineStr">
        <is>
          <t>L</t>
        </is>
      </c>
      <c r="G11" s="10" t="n"/>
      <c r="H11" s="10" t="inlineStr">
        <is>
          <t>Large or generic; no proof of spend on our audience</t>
        </is>
      </c>
      <c r="I11" s="10" t="n"/>
      <c r="J11" s="10" t="n"/>
      <c r="K11" s="10" t="inlineStr">
        <is>
          <t>Marketing lead, non-resident / emigrant segment</t>
        </is>
      </c>
      <c r="L11" s="10" t="inlineStr">
        <is>
          <t>LinkedIn (named role); general partnerships email as backup</t>
        </is>
      </c>
      <c r="M11" s="10" t="inlineStr">
        <is>
          <t>Gold</t>
        </is>
      </c>
      <c r="N11" s="14">
        <f>INDEX(Settings!$B$4:$B$15,MATCH(M11,Settings!$A$4:$A$15,0))</f>
        <v/>
      </c>
      <c r="O11" s="15">
        <f>IF(E11="A",IF(I11&gt;=2022,Settings!$B$18,Settings!$B$19),IF(E11="B",Settings!$B$20,Settings!$B$21))+IF(F11="S",Settings!$B$22,0)</f>
        <v/>
      </c>
      <c r="P11" s="14">
        <f>N11*O11</f>
        <v/>
      </c>
      <c r="Q11" s="16">
        <f>P11*INDEX(Settings!$B$25:$B$27,MATCH(F11,Settings!$A$25:$A$27,0))</f>
        <v/>
      </c>
      <c r="R11" s="10" t="inlineStr">
        <is>
          <t>Parked</t>
        </is>
      </c>
      <c r="S11" s="10" t="inlineStr">
        <is>
          <t>Revisit when 1,000 subscribers or a warm intro exists</t>
        </is>
      </c>
      <c r="T11" s="10" t="inlineStr">
        <is>
          <t>2026-12-01</t>
        </is>
      </c>
      <c r="U11" s="10" t="inlineStr">
        <is>
          <t>CEO</t>
        </is>
      </c>
      <c r="V11" s="10" t="inlineStr">
        <is>
          <t>not assessed</t>
        </is>
      </c>
    </row>
    <row r="12">
      <c r="A12" s="10" t="inlineStr">
        <is>
          <t>S080</t>
        </is>
      </c>
      <c r="B12" s="11" t="inlineStr">
        <is>
          <t>Banco do Brasil (Portugal)</t>
        </is>
      </c>
      <c r="C12" s="10" t="inlineStr">
        <is>
          <t>Bank</t>
        </is>
      </c>
      <c r="D12" s="10" t="inlineStr">
        <is>
          <t>LU, FR, CH, BR</t>
        </is>
      </c>
      <c r="E12" s="10" t="inlineStr">
        <is>
          <t>C</t>
        </is>
      </c>
      <c r="F12" s="10" t="inlineStr">
        <is>
          <t>L</t>
        </is>
      </c>
      <c r="G12" s="10" t="n"/>
      <c r="H12" s="10" t="inlineStr">
        <is>
          <t>Large or generic; no proof of spend on our audience</t>
        </is>
      </c>
      <c r="I12" s="10" t="n"/>
      <c r="J12" s="10" t="n"/>
      <c r="K12" s="10" t="inlineStr">
        <is>
          <t>Marketing lead, non-resident / emigrant segment</t>
        </is>
      </c>
      <c r="L12" s="10" t="inlineStr">
        <is>
          <t>LinkedIn (named role); general partnerships email as backup</t>
        </is>
      </c>
      <c r="M12" s="10" t="inlineStr">
        <is>
          <t>Gold</t>
        </is>
      </c>
      <c r="N12" s="14">
        <f>INDEX(Settings!$B$4:$B$15,MATCH(M12,Settings!$A$4:$A$15,0))</f>
        <v/>
      </c>
      <c r="O12" s="15">
        <f>IF(E12="A",IF(I12&gt;=2022,Settings!$B$18,Settings!$B$19),IF(E12="B",Settings!$B$20,Settings!$B$21))+IF(F12="S",Settings!$B$22,0)</f>
        <v/>
      </c>
      <c r="P12" s="14">
        <f>N12*O12</f>
        <v/>
      </c>
      <c r="Q12" s="16">
        <f>P12*INDEX(Settings!$B$25:$B$27,MATCH(F12,Settings!$A$25:$A$27,0))</f>
        <v/>
      </c>
      <c r="R12" s="10" t="inlineStr">
        <is>
          <t>Parked</t>
        </is>
      </c>
      <c r="S12" s="10" t="inlineStr">
        <is>
          <t>Revisit when 1,000 subscribers or a warm intro exists</t>
        </is>
      </c>
      <c r="T12" s="10" t="inlineStr">
        <is>
          <t>2026-12-01</t>
        </is>
      </c>
      <c r="U12" s="10" t="inlineStr">
        <is>
          <t>CEO</t>
        </is>
      </c>
      <c r="V12" s="10" t="inlineStr">
        <is>
          <t>not assessed</t>
        </is>
      </c>
    </row>
    <row r="13">
      <c r="A13" s="10" t="inlineStr">
        <is>
          <t>S081</t>
        </is>
      </c>
      <c r="B13" s="11" t="inlineStr">
        <is>
          <t>Bankinter Portugal</t>
        </is>
      </c>
      <c r="C13" s="10" t="inlineStr">
        <is>
          <t>Bank</t>
        </is>
      </c>
      <c r="D13" s="10" t="inlineStr">
        <is>
          <t>LU, FR, CH, BR</t>
        </is>
      </c>
      <c r="E13" s="10" t="inlineStr">
        <is>
          <t>C</t>
        </is>
      </c>
      <c r="F13" s="10" t="inlineStr">
        <is>
          <t>L</t>
        </is>
      </c>
      <c r="G13" s="10" t="n"/>
      <c r="H13" s="10" t="inlineStr">
        <is>
          <t>Large or generic; no proof of spend on our audience</t>
        </is>
      </c>
      <c r="I13" s="10" t="n"/>
      <c r="J13" s="10" t="n"/>
      <c r="K13" s="10" t="inlineStr">
        <is>
          <t>Marketing lead, non-resident / emigrant segment</t>
        </is>
      </c>
      <c r="L13" s="10" t="inlineStr">
        <is>
          <t>LinkedIn (named role); general partnerships email as backup</t>
        </is>
      </c>
      <c r="M13" s="10" t="inlineStr">
        <is>
          <t>Gold</t>
        </is>
      </c>
      <c r="N13" s="14">
        <f>INDEX(Settings!$B$4:$B$15,MATCH(M13,Settings!$A$4:$A$15,0))</f>
        <v/>
      </c>
      <c r="O13" s="15">
        <f>IF(E13="A",IF(I13&gt;=2022,Settings!$B$18,Settings!$B$19),IF(E13="B",Settings!$B$20,Settings!$B$21))+IF(F13="S",Settings!$B$22,0)</f>
        <v/>
      </c>
      <c r="P13" s="14">
        <f>N13*O13</f>
        <v/>
      </c>
      <c r="Q13" s="16">
        <f>P13*INDEX(Settings!$B$25:$B$27,MATCH(F13,Settings!$A$25:$A$27,0))</f>
        <v/>
      </c>
      <c r="R13" s="10" t="inlineStr">
        <is>
          <t>Parked</t>
        </is>
      </c>
      <c r="S13" s="10" t="inlineStr">
        <is>
          <t>Revisit when 1,000 subscribers or a warm intro exists</t>
        </is>
      </c>
      <c r="T13" s="10" t="inlineStr">
        <is>
          <t>2026-12-01</t>
        </is>
      </c>
      <c r="U13" s="10" t="inlineStr">
        <is>
          <t>CEO</t>
        </is>
      </c>
      <c r="V13" s="10" t="inlineStr">
        <is>
          <t>not assessed</t>
        </is>
      </c>
    </row>
    <row r="14">
      <c r="A14" s="10" t="inlineStr">
        <is>
          <t>S082</t>
        </is>
      </c>
      <c r="B14" s="11" t="inlineStr">
        <is>
          <t>Banque Raiffeisen</t>
        </is>
      </c>
      <c r="C14" s="10" t="inlineStr">
        <is>
          <t>Bank (Luxembourg)</t>
        </is>
      </c>
      <c r="D14" s="10" t="inlineStr">
        <is>
          <t>LU</t>
        </is>
      </c>
      <c r="E14" s="10" t="inlineStr">
        <is>
          <t>C</t>
        </is>
      </c>
      <c r="F14" s="10" t="inlineStr">
        <is>
          <t>L</t>
        </is>
      </c>
      <c r="G14" s="10" t="n"/>
      <c r="H14" s="10" t="inlineStr">
        <is>
          <t>Large or generic; no proof of spend on our audience</t>
        </is>
      </c>
      <c r="I14" s="10" t="n"/>
      <c r="J14" s="10" t="n"/>
      <c r="K14" s="10" t="inlineStr">
        <is>
          <t>Marketing lead, non-resident / emigrant segment</t>
        </is>
      </c>
      <c r="L14" s="10" t="inlineStr">
        <is>
          <t>LinkedIn (named role); general partnerships email as backup</t>
        </is>
      </c>
      <c r="M14" s="10" t="inlineStr">
        <is>
          <t>Gold</t>
        </is>
      </c>
      <c r="N14" s="14">
        <f>INDEX(Settings!$B$4:$B$15,MATCH(M14,Settings!$A$4:$A$15,0))</f>
        <v/>
      </c>
      <c r="O14" s="15">
        <f>IF(E14="A",IF(I14&gt;=2022,Settings!$B$18,Settings!$B$19),IF(E14="B",Settings!$B$20,Settings!$B$21))+IF(F14="S",Settings!$B$22,0)</f>
        <v/>
      </c>
      <c r="P14" s="14">
        <f>N14*O14</f>
        <v/>
      </c>
      <c r="Q14" s="16">
        <f>P14*INDEX(Settings!$B$25:$B$27,MATCH(F14,Settings!$A$25:$A$27,0))</f>
        <v/>
      </c>
      <c r="R14" s="10" t="inlineStr">
        <is>
          <t>Parked</t>
        </is>
      </c>
      <c r="S14" s="10" t="inlineStr">
        <is>
          <t>Revisit when 1,000 subscribers or a warm intro exists</t>
        </is>
      </c>
      <c r="T14" s="10" t="inlineStr">
        <is>
          <t>2026-12-01</t>
        </is>
      </c>
      <c r="U14" s="10" t="inlineStr">
        <is>
          <t>CEO</t>
        </is>
      </c>
      <c r="V14" s="10" t="inlineStr">
        <is>
          <t>not assessed</t>
        </is>
      </c>
    </row>
    <row r="15">
      <c r="A15" s="10" t="inlineStr">
        <is>
          <t>S147</t>
        </is>
      </c>
      <c r="B15" s="11" t="inlineStr">
        <is>
          <t>Bupa (Portugal)</t>
        </is>
      </c>
      <c r="C15" s="10" t="inlineStr">
        <is>
          <t>Insurance</t>
        </is>
      </c>
      <c r="D15" s="10" t="inlineStr">
        <is>
          <t>LU, FR, CH, BR, US, IL</t>
        </is>
      </c>
      <c r="E15" s="10" t="inlineStr">
        <is>
          <t>C</t>
        </is>
      </c>
      <c r="F15" s="10" t="inlineStr">
        <is>
          <t>L</t>
        </is>
      </c>
      <c r="G15" s="13" t="inlineStr">
        <is>
          <t>https://www.doutorfinancas.pt/seguro-vida-geral/</t>
        </is>
      </c>
      <c r="H15" s="10" t="inlineStr">
        <is>
          <t>Insurer listed as a partner by Doutor Finanças' insurance intermediary (Doutor Finanças Protege) (prompt 13); no proof of spend on our audience</t>
        </is>
      </c>
      <c r="I15" s="10" t="n">
        <v>2026</v>
      </c>
      <c r="J15" s="10" t="inlineStr">
        <is>
          <t>Fetched</t>
        </is>
      </c>
      <c r="K15" s="10" t="inlineStr">
        <is>
          <t>Marketing lead, intermediary / partnerships</t>
        </is>
      </c>
      <c r="L15" s="10" t="inlineStr">
        <is>
          <t>LinkedIn (named role); general partnerships email as backup</t>
        </is>
      </c>
      <c r="M15" s="10" t="inlineStr">
        <is>
          <t>Silver</t>
        </is>
      </c>
      <c r="N15" s="14">
        <f>INDEX(Settings!$B$4:$B$15,MATCH(M15,Settings!$A$4:$A$15,0))</f>
        <v/>
      </c>
      <c r="O15" s="15">
        <f>IF(E15="A",IF(I15&gt;=2022,Settings!$B$18,Settings!$B$19),IF(E15="B",Settings!$B$20,Settings!$B$21))+IF(F15="S",Settings!$B$22,0)</f>
        <v/>
      </c>
      <c r="P15" s="14">
        <f>N15*O15</f>
        <v/>
      </c>
      <c r="Q15" s="16">
        <f>P15*INDEX(Settings!$B$25:$B$27,MATCH(F15,Settings!$A$25:$A$27,0))</f>
        <v/>
      </c>
      <c r="R15" s="10" t="inlineStr">
        <is>
          <t>Parked</t>
        </is>
      </c>
      <c r="S15" s="10" t="inlineStr">
        <is>
          <t>Revisit when 1,000 subscribers or a warm intro exists</t>
        </is>
      </c>
      <c r="T15" s="10" t="inlineStr">
        <is>
          <t>2026-12-01</t>
        </is>
      </c>
      <c r="U15" s="10" t="inlineStr">
        <is>
          <t>CEO</t>
        </is>
      </c>
      <c r="V15" s="10" t="inlineStr">
        <is>
          <t>not assessed</t>
        </is>
      </c>
    </row>
    <row r="16">
      <c r="A16" s="10" t="inlineStr">
        <is>
          <t>S083</t>
        </is>
      </c>
      <c r="B16" s="11" t="inlineStr">
        <is>
          <t>C6 Bank</t>
        </is>
      </c>
      <c r="C16" s="10" t="inlineStr">
        <is>
          <t>Bank (Brazil)</t>
        </is>
      </c>
      <c r="D16" s="10" t="inlineStr">
        <is>
          <t>BR</t>
        </is>
      </c>
      <c r="E16" s="10" t="inlineStr">
        <is>
          <t>C</t>
        </is>
      </c>
      <c r="F16" s="10" t="inlineStr">
        <is>
          <t>L</t>
        </is>
      </c>
      <c r="G16" s="10" t="n"/>
      <c r="H16" s="10" t="inlineStr">
        <is>
          <t>Large or generic; no proof of spend on our audience</t>
        </is>
      </c>
      <c r="I16" s="10" t="n"/>
      <c r="J16" s="10" t="n"/>
      <c r="K16" s="10" t="inlineStr">
        <is>
          <t>Marketing lead, non-resident / emigrant segment</t>
        </is>
      </c>
      <c r="L16" s="10" t="inlineStr">
        <is>
          <t>LinkedIn (named role); general partnerships email as backup</t>
        </is>
      </c>
      <c r="M16" s="10" t="inlineStr">
        <is>
          <t>Gold</t>
        </is>
      </c>
      <c r="N16" s="14">
        <f>INDEX(Settings!$B$4:$B$15,MATCH(M16,Settings!$A$4:$A$15,0))</f>
        <v/>
      </c>
      <c r="O16" s="15">
        <f>IF(E16="A",IF(I16&gt;=2022,Settings!$B$18,Settings!$B$19),IF(E16="B",Settings!$B$20,Settings!$B$21))+IF(F16="S",Settings!$B$22,0)</f>
        <v/>
      </c>
      <c r="P16" s="14">
        <f>N16*O16</f>
        <v/>
      </c>
      <c r="Q16" s="16">
        <f>P16*INDEX(Settings!$B$25:$B$27,MATCH(F16,Settings!$A$25:$A$27,0))</f>
        <v/>
      </c>
      <c r="R16" s="10" t="inlineStr">
        <is>
          <t>Parked</t>
        </is>
      </c>
      <c r="S16" s="10" t="inlineStr">
        <is>
          <t>Revisit when 1,000 subscribers or a warm intro exists</t>
        </is>
      </c>
      <c r="T16" s="10" t="inlineStr">
        <is>
          <t>2026-12-01</t>
        </is>
      </c>
      <c r="U16" s="10" t="inlineStr">
        <is>
          <t>CEO</t>
        </is>
      </c>
      <c r="V16" s="10" t="inlineStr">
        <is>
          <t>not assessed</t>
        </is>
      </c>
    </row>
    <row r="17">
      <c r="A17" s="10" t="inlineStr">
        <is>
          <t>S084</t>
        </is>
      </c>
      <c r="B17" s="11" t="inlineStr">
        <is>
          <t>Caiado Guerreiro</t>
        </is>
      </c>
      <c r="C17" s="10" t="inlineStr">
        <is>
          <t>Law firm</t>
        </is>
      </c>
      <c r="D17" s="10" t="inlineStr">
        <is>
          <t>LU, FR, CH, BR</t>
        </is>
      </c>
      <c r="E17" s="10" t="inlineStr">
        <is>
          <t>C</t>
        </is>
      </c>
      <c r="F17" s="10" t="inlineStr">
        <is>
          <t>L</t>
        </is>
      </c>
      <c r="G17" s="10" t="n"/>
      <c r="H17" s="10" t="inlineStr">
        <is>
          <t>Large or generic; no proof of spend on our audience</t>
        </is>
      </c>
      <c r="I17" s="10" t="n"/>
      <c r="J17" s="10" t="n"/>
      <c r="K17" s="10" t="inlineStr">
        <is>
          <t>Managing partner or business development</t>
        </is>
      </c>
      <c r="L17" s="10" t="inlineStr">
        <is>
          <t>LinkedIn (named role); general partnerships email as backup</t>
        </is>
      </c>
      <c r="M17" s="10" t="inlineStr">
        <is>
          <t>Silver</t>
        </is>
      </c>
      <c r="N17" s="14">
        <f>INDEX(Settings!$B$4:$B$15,MATCH(M17,Settings!$A$4:$A$15,0))</f>
        <v/>
      </c>
      <c r="O17" s="15">
        <f>IF(E17="A",IF(I17&gt;=2022,Settings!$B$18,Settings!$B$19),IF(E17="B",Settings!$B$20,Settings!$B$21))+IF(F17="S",Settings!$B$22,0)</f>
        <v/>
      </c>
      <c r="P17" s="14">
        <f>N17*O17</f>
        <v/>
      </c>
      <c r="Q17" s="16">
        <f>P17*INDEX(Settings!$B$25:$B$27,MATCH(F17,Settings!$A$25:$A$27,0))</f>
        <v/>
      </c>
      <c r="R17" s="10" t="inlineStr">
        <is>
          <t>Parked</t>
        </is>
      </c>
      <c r="S17" s="10" t="inlineStr">
        <is>
          <t>Revisit when 1,000 subscribers or a warm intro exists</t>
        </is>
      </c>
      <c r="T17" s="10" t="inlineStr">
        <is>
          <t>2026-12-01</t>
        </is>
      </c>
      <c r="U17" s="10" t="inlineStr">
        <is>
          <t>CEO</t>
        </is>
      </c>
      <c r="V17" s="10" t="inlineStr">
        <is>
          <t>not assessed</t>
        </is>
      </c>
    </row>
    <row r="18">
      <c r="A18" s="10" t="inlineStr">
        <is>
          <t>S141</t>
        </is>
      </c>
      <c r="B18" s="11" t="inlineStr">
        <is>
          <t>Caravela Seguros</t>
        </is>
      </c>
      <c r="C18" s="10" t="inlineStr">
        <is>
          <t>Insurance</t>
        </is>
      </c>
      <c r="D18" s="10" t="inlineStr">
        <is>
          <t>LU, FR, CH, BR, US, IL</t>
        </is>
      </c>
      <c r="E18" s="10" t="inlineStr">
        <is>
          <t>C</t>
        </is>
      </c>
      <c r="F18" s="10" t="inlineStr">
        <is>
          <t>L</t>
        </is>
      </c>
      <c r="G18" s="13" t="inlineStr">
        <is>
          <t>https://www.doutorfinancas.pt/seguro-vida-geral/</t>
        </is>
      </c>
      <c r="H18" s="10" t="inlineStr">
        <is>
          <t>Insurer listed as a partner by Doutor Finanças' insurance intermediary (Doutor Finanças Protege) (prompt 13); no proof of spend on our audience</t>
        </is>
      </c>
      <c r="I18" s="10" t="n">
        <v>2026</v>
      </c>
      <c r="J18" s="10" t="inlineStr">
        <is>
          <t>Fetched</t>
        </is>
      </c>
      <c r="K18" s="10" t="inlineStr">
        <is>
          <t>Marketing lead, intermediary / partnerships</t>
        </is>
      </c>
      <c r="L18" s="10" t="inlineStr">
        <is>
          <t>LinkedIn (named role); general partnerships email as backup</t>
        </is>
      </c>
      <c r="M18" s="10" t="inlineStr">
        <is>
          <t>Silver</t>
        </is>
      </c>
      <c r="N18" s="14">
        <f>INDEX(Settings!$B$4:$B$15,MATCH(M18,Settings!$A$4:$A$15,0))</f>
        <v/>
      </c>
      <c r="O18" s="15">
        <f>IF(E18="A",IF(I18&gt;=2022,Settings!$B$18,Settings!$B$19),IF(E18="B",Settings!$B$20,Settings!$B$21))+IF(F18="S",Settings!$B$22,0)</f>
        <v/>
      </c>
      <c r="P18" s="14">
        <f>N18*O18</f>
        <v/>
      </c>
      <c r="Q18" s="16">
        <f>P18*INDEX(Settings!$B$25:$B$27,MATCH(F18,Settings!$A$25:$A$27,0))</f>
        <v/>
      </c>
      <c r="R18" s="10" t="inlineStr">
        <is>
          <t>Parked</t>
        </is>
      </c>
      <c r="S18" s="10" t="inlineStr">
        <is>
          <t>Revisit when 1,000 subscribers or a warm intro exists</t>
        </is>
      </c>
      <c r="T18" s="10" t="inlineStr">
        <is>
          <t>2026-12-01</t>
        </is>
      </c>
      <c r="U18" s="10" t="inlineStr">
        <is>
          <t>CEO</t>
        </is>
      </c>
      <c r="V18" s="10" t="inlineStr">
        <is>
          <t>not assessed</t>
        </is>
      </c>
    </row>
    <row r="19">
      <c r="A19" s="10" t="inlineStr">
        <is>
          <t>S085</t>
        </is>
      </c>
      <c r="B19" s="11" t="inlineStr">
        <is>
          <t>Cidadania4u</t>
        </is>
      </c>
      <c r="C19" s="10" t="inlineStr">
        <is>
          <t>Citizenship services</t>
        </is>
      </c>
      <c r="D19" s="10" t="inlineStr">
        <is>
          <t>LU, FR, CH, BR</t>
        </is>
      </c>
      <c r="E19" s="10" t="inlineStr">
        <is>
          <t>C</t>
        </is>
      </c>
      <c r="F19" s="10" t="inlineStr">
        <is>
          <t>L</t>
        </is>
      </c>
      <c r="G19" s="10" t="n"/>
      <c r="H19" s="10" t="inlineStr">
        <is>
          <t>Large or generic; no proof of spend on our audience</t>
        </is>
      </c>
      <c r="I19" s="10" t="n"/>
      <c r="J19" s="10" t="n"/>
      <c r="K19" s="10" t="inlineStr">
        <is>
          <t>Owner or marketing lead</t>
        </is>
      </c>
      <c r="L19" s="10" t="inlineStr">
        <is>
          <t>LinkedIn (named role); general partnerships email as backup</t>
        </is>
      </c>
      <c r="M19" s="10" t="inlineStr">
        <is>
          <t>Silver</t>
        </is>
      </c>
      <c r="N19" s="14">
        <f>INDEX(Settings!$B$4:$B$15,MATCH(M19,Settings!$A$4:$A$15,0))</f>
        <v/>
      </c>
      <c r="O19" s="15">
        <f>IF(E19="A",IF(I19&gt;=2022,Settings!$B$18,Settings!$B$19),IF(E19="B",Settings!$B$20,Settings!$B$21))+IF(F19="S",Settings!$B$22,0)</f>
        <v/>
      </c>
      <c r="P19" s="14">
        <f>N19*O19</f>
        <v/>
      </c>
      <c r="Q19" s="16">
        <f>P19*INDEX(Settings!$B$25:$B$27,MATCH(F19,Settings!$A$25:$A$27,0))</f>
        <v/>
      </c>
      <c r="R19" s="10" t="inlineStr">
        <is>
          <t>Parked</t>
        </is>
      </c>
      <c r="S19" s="10" t="inlineStr">
        <is>
          <t>Revisit when 1,000 subscribers or a warm intro exists</t>
        </is>
      </c>
      <c r="T19" s="10" t="inlineStr">
        <is>
          <t>2026-12-01</t>
        </is>
      </c>
      <c r="U19" s="10" t="inlineStr">
        <is>
          <t>CEO</t>
        </is>
      </c>
      <c r="V19" s="10" t="inlineStr">
        <is>
          <t>not assessed</t>
        </is>
      </c>
    </row>
    <row r="20">
      <c r="A20" s="10" t="inlineStr">
        <is>
          <t>S087</t>
        </is>
      </c>
      <c r="B20" s="11" t="inlineStr">
        <is>
          <t>Decisões e Soluções</t>
        </is>
      </c>
      <c r="C20" s="10" t="inlineStr">
        <is>
          <t>Credit / real estate network</t>
        </is>
      </c>
      <c r="D20" s="10" t="inlineStr">
        <is>
          <t>LU, FR, CH, BR</t>
        </is>
      </c>
      <c r="E20" s="10" t="inlineStr">
        <is>
          <t>C</t>
        </is>
      </c>
      <c r="F20" s="10" t="inlineStr">
        <is>
          <t>L</t>
        </is>
      </c>
      <c r="G20" s="10" t="n"/>
      <c r="H20" s="10" t="inlineStr">
        <is>
          <t>Large or generic; no proof of spend on our audience</t>
        </is>
      </c>
      <c r="I20" s="10" t="n"/>
      <c r="J20" s="10" t="n"/>
      <c r="K20" s="10" t="inlineStr">
        <is>
          <t>Partnerships or marketing lead</t>
        </is>
      </c>
      <c r="L20" s="10" t="inlineStr">
        <is>
          <t>LinkedIn (named role); general partnerships email as backup</t>
        </is>
      </c>
      <c r="M20" s="10" t="inlineStr">
        <is>
          <t>Silver</t>
        </is>
      </c>
      <c r="N20" s="14">
        <f>INDEX(Settings!$B$4:$B$15,MATCH(M20,Settings!$A$4:$A$15,0))</f>
        <v/>
      </c>
      <c r="O20" s="15">
        <f>IF(E20="A",IF(I20&gt;=2022,Settings!$B$18,Settings!$B$19),IF(E20="B",Settings!$B$20,Settings!$B$21))+IF(F20="S",Settings!$B$22,0)</f>
        <v/>
      </c>
      <c r="P20" s="14">
        <f>N20*O20</f>
        <v/>
      </c>
      <c r="Q20" s="16">
        <f>P20*INDEX(Settings!$B$25:$B$27,MATCH(F20,Settings!$A$25:$A$27,0))</f>
        <v/>
      </c>
      <c r="R20" s="10" t="inlineStr">
        <is>
          <t>Parked</t>
        </is>
      </c>
      <c r="S20" s="10" t="inlineStr">
        <is>
          <t>Revisit when 1,000 subscribers or a warm intro exists</t>
        </is>
      </c>
      <c r="T20" s="10" t="inlineStr">
        <is>
          <t>2026-12-01</t>
        </is>
      </c>
      <c r="U20" s="10" t="inlineStr">
        <is>
          <t>CEO</t>
        </is>
      </c>
      <c r="V20" s="10" t="inlineStr">
        <is>
          <t>not assessed</t>
        </is>
      </c>
    </row>
    <row r="21">
      <c r="A21" s="10" t="inlineStr">
        <is>
          <t>S088</t>
        </is>
      </c>
      <c r="B21" s="11" t="inlineStr">
        <is>
          <t>EDP Comercial</t>
        </is>
      </c>
      <c r="C21" s="10" t="inlineStr">
        <is>
          <t>Energy / solar</t>
        </is>
      </c>
      <c r="D21" s="10" t="inlineStr">
        <is>
          <t>LU, FR, CH, BR</t>
        </is>
      </c>
      <c r="E21" s="10" t="inlineStr">
        <is>
          <t>C</t>
        </is>
      </c>
      <c r="F21" s="10" t="inlineStr">
        <is>
          <t>L</t>
        </is>
      </c>
      <c r="G21" s="10" t="n"/>
      <c r="H21" s="10" t="inlineStr">
        <is>
          <t>Large or generic; no proof of spend on our audience</t>
        </is>
      </c>
      <c r="I21" s="10" t="n"/>
      <c r="J21" s="10" t="n"/>
      <c r="K21" s="10" t="inlineStr">
        <is>
          <t>Owner or marketing lead</t>
        </is>
      </c>
      <c r="L21" s="10" t="inlineStr">
        <is>
          <t>LinkedIn (named role); general partnerships email as backup</t>
        </is>
      </c>
      <c r="M21" s="10" t="inlineStr">
        <is>
          <t>Silver</t>
        </is>
      </c>
      <c r="N21" s="14">
        <f>INDEX(Settings!$B$4:$B$15,MATCH(M21,Settings!$A$4:$A$15,0))</f>
        <v/>
      </c>
      <c r="O21" s="15">
        <f>IF(E21="A",IF(I21&gt;=2022,Settings!$B$18,Settings!$B$19),IF(E21="B",Settings!$B$20,Settings!$B$21))+IF(F21="S",Settings!$B$22,0)</f>
        <v/>
      </c>
      <c r="P21" s="14">
        <f>N21*O21</f>
        <v/>
      </c>
      <c r="Q21" s="16">
        <f>P21*INDEX(Settings!$B$25:$B$27,MATCH(F21,Settings!$A$25:$A$27,0))</f>
        <v/>
      </c>
      <c r="R21" s="10" t="inlineStr">
        <is>
          <t>Parked</t>
        </is>
      </c>
      <c r="S21" s="10" t="inlineStr">
        <is>
          <t>Revisit when 1,000 subscribers or a warm intro exists</t>
        </is>
      </c>
      <c r="T21" s="10" t="inlineStr">
        <is>
          <t>2026-12-01</t>
        </is>
      </c>
      <c r="U21" s="10" t="inlineStr">
        <is>
          <t>CEO</t>
        </is>
      </c>
      <c r="V21" s="10" t="inlineStr">
        <is>
          <t>not assessed</t>
        </is>
      </c>
    </row>
    <row r="22">
      <c r="A22" s="10" t="inlineStr">
        <is>
          <t>S089</t>
        </is>
      </c>
      <c r="B22" s="11" t="inlineStr">
        <is>
          <t>Empruntis</t>
        </is>
      </c>
      <c r="C22" s="10" t="inlineStr">
        <is>
          <t>Credit broker (France)</t>
        </is>
      </c>
      <c r="D22" s="10" t="inlineStr">
        <is>
          <t>FR</t>
        </is>
      </c>
      <c r="E22" s="10" t="inlineStr">
        <is>
          <t>C</t>
        </is>
      </c>
      <c r="F22" s="10" t="inlineStr">
        <is>
          <t>L</t>
        </is>
      </c>
      <c r="G22" s="10" t="n"/>
      <c r="H22" s="10" t="inlineStr">
        <is>
          <t>Large or generic; no proof of spend on our audience</t>
        </is>
      </c>
      <c r="I22" s="10" t="n"/>
      <c r="J22" s="10" t="n"/>
      <c r="K22" s="10" t="inlineStr">
        <is>
          <t>Partnerships or marketing lead</t>
        </is>
      </c>
      <c r="L22" s="10" t="inlineStr">
        <is>
          <t>LinkedIn (named role); general partnerships email as backup</t>
        </is>
      </c>
      <c r="M22" s="10" t="inlineStr">
        <is>
          <t>Silver</t>
        </is>
      </c>
      <c r="N22" s="14">
        <f>INDEX(Settings!$B$4:$B$15,MATCH(M22,Settings!$A$4:$A$15,0))</f>
        <v/>
      </c>
      <c r="O22" s="15">
        <f>IF(E22="A",IF(I22&gt;=2022,Settings!$B$18,Settings!$B$19),IF(E22="B",Settings!$B$20,Settings!$B$21))+IF(F22="S",Settings!$B$22,0)</f>
        <v/>
      </c>
      <c r="P22" s="14">
        <f>N22*O22</f>
        <v/>
      </c>
      <c r="Q22" s="16">
        <f>P22*INDEX(Settings!$B$25:$B$27,MATCH(F22,Settings!$A$25:$A$27,0))</f>
        <v/>
      </c>
      <c r="R22" s="10" t="inlineStr">
        <is>
          <t>Parked</t>
        </is>
      </c>
      <c r="S22" s="10" t="inlineStr">
        <is>
          <t>Revisit when 1,000 subscribers or a warm intro exists</t>
        </is>
      </c>
      <c r="T22" s="10" t="inlineStr">
        <is>
          <t>2026-12-01</t>
        </is>
      </c>
      <c r="U22" s="10" t="inlineStr">
        <is>
          <t>CEO</t>
        </is>
      </c>
      <c r="V22" s="10" t="inlineStr">
        <is>
          <t>not assessed</t>
        </is>
      </c>
    </row>
    <row r="23">
      <c r="A23" s="10" t="inlineStr">
        <is>
          <t>S145</t>
        </is>
      </c>
      <c r="B23" s="11" t="inlineStr">
        <is>
          <t>Europ Assistance</t>
        </is>
      </c>
      <c r="C23" s="10" t="inlineStr">
        <is>
          <t>Insurance</t>
        </is>
      </c>
      <c r="D23" s="10" t="inlineStr">
        <is>
          <t>LU, FR, CH, BR, US, IL</t>
        </is>
      </c>
      <c r="E23" s="10" t="inlineStr">
        <is>
          <t>C</t>
        </is>
      </c>
      <c r="F23" s="10" t="inlineStr">
        <is>
          <t>L</t>
        </is>
      </c>
      <c r="G23" s="13" t="inlineStr">
        <is>
          <t>https://www.doutorfinancas.pt/seguro-vida-geral/</t>
        </is>
      </c>
      <c r="H23" s="10" t="inlineStr">
        <is>
          <t>Insurer listed as a partner by Doutor Finanças' insurance intermediary (Doutor Finanças Protege) (prompt 13); no proof of spend on our audience</t>
        </is>
      </c>
      <c r="I23" s="10" t="n">
        <v>2026</v>
      </c>
      <c r="J23" s="10" t="inlineStr">
        <is>
          <t>Fetched</t>
        </is>
      </c>
      <c r="K23" s="10" t="inlineStr">
        <is>
          <t>Marketing lead, intermediary / partnerships</t>
        </is>
      </c>
      <c r="L23" s="10" t="inlineStr">
        <is>
          <t>LinkedIn (named role); general partnerships email as backup</t>
        </is>
      </c>
      <c r="M23" s="10" t="inlineStr">
        <is>
          <t>Silver</t>
        </is>
      </c>
      <c r="N23" s="14">
        <f>INDEX(Settings!$B$4:$B$15,MATCH(M23,Settings!$A$4:$A$15,0))</f>
        <v/>
      </c>
      <c r="O23" s="15">
        <f>IF(E23="A",IF(I23&gt;=2022,Settings!$B$18,Settings!$B$19),IF(E23="B",Settings!$B$20,Settings!$B$21))+IF(F23="S",Settings!$B$22,0)</f>
        <v/>
      </c>
      <c r="P23" s="14">
        <f>N23*O23</f>
        <v/>
      </c>
      <c r="Q23" s="16">
        <f>P23*INDEX(Settings!$B$25:$B$27,MATCH(F23,Settings!$A$25:$A$27,0))</f>
        <v/>
      </c>
      <c r="R23" s="10" t="inlineStr">
        <is>
          <t>Parked</t>
        </is>
      </c>
      <c r="S23" s="10" t="inlineStr">
        <is>
          <t>Revisit when 1,000 subscribers or a warm intro exists</t>
        </is>
      </c>
      <c r="T23" s="10" t="inlineStr">
        <is>
          <t>2026-12-01</t>
        </is>
      </c>
      <c r="U23" s="10" t="inlineStr">
        <is>
          <t>CEO</t>
        </is>
      </c>
      <c r="V23" s="10" t="inlineStr">
        <is>
          <t>not assessed</t>
        </is>
      </c>
    </row>
    <row r="24">
      <c r="A24" s="10" t="inlineStr">
        <is>
          <t>S090</t>
        </is>
      </c>
      <c r="B24" s="11" t="inlineStr">
        <is>
          <t>Feels Like Home</t>
        </is>
      </c>
      <c r="C24" s="10" t="inlineStr">
        <is>
          <t>Rental management</t>
        </is>
      </c>
      <c r="D24" s="10" t="inlineStr">
        <is>
          <t>LU, FR, CH, BR</t>
        </is>
      </c>
      <c r="E24" s="10" t="inlineStr">
        <is>
          <t>C</t>
        </is>
      </c>
      <c r="F24" s="10" t="inlineStr">
        <is>
          <t>L</t>
        </is>
      </c>
      <c r="G24" s="10" t="n"/>
      <c r="H24" s="10" t="inlineStr">
        <is>
          <t>Large or generic; no proof of spend on our audience</t>
        </is>
      </c>
      <c r="I24" s="10" t="n"/>
      <c r="J24" s="10" t="n"/>
      <c r="K24" s="10" t="inlineStr">
        <is>
          <t>Owner or marketing lead</t>
        </is>
      </c>
      <c r="L24" s="10" t="inlineStr">
        <is>
          <t>LinkedIn (named role); general partnerships email as backup</t>
        </is>
      </c>
      <c r="M24" s="10" t="inlineStr">
        <is>
          <t>Silver</t>
        </is>
      </c>
      <c r="N24" s="14">
        <f>INDEX(Settings!$B$4:$B$15,MATCH(M24,Settings!$A$4:$A$15,0))</f>
        <v/>
      </c>
      <c r="O24" s="15">
        <f>IF(E24="A",IF(I24&gt;=2022,Settings!$B$18,Settings!$B$19),IF(E24="B",Settings!$B$20,Settings!$B$21))+IF(F24="S",Settings!$B$22,0)</f>
        <v/>
      </c>
      <c r="P24" s="14">
        <f>N24*O24</f>
        <v/>
      </c>
      <c r="Q24" s="16">
        <f>P24*INDEX(Settings!$B$25:$B$27,MATCH(F24,Settings!$A$25:$A$27,0))</f>
        <v/>
      </c>
      <c r="R24" s="10" t="inlineStr">
        <is>
          <t>Parked</t>
        </is>
      </c>
      <c r="S24" s="10" t="inlineStr">
        <is>
          <t>Revisit when 1,000 subscribers or a warm intro exists</t>
        </is>
      </c>
      <c r="T24" s="10" t="inlineStr">
        <is>
          <t>2026-12-01</t>
        </is>
      </c>
      <c r="U24" s="10" t="inlineStr">
        <is>
          <t>CEO</t>
        </is>
      </c>
      <c r="V24" s="10" t="inlineStr">
        <is>
          <t>not assessed</t>
        </is>
      </c>
    </row>
    <row r="25">
      <c r="A25" s="10" t="inlineStr">
        <is>
          <t>S091</t>
        </is>
      </c>
      <c r="B25" s="11" t="inlineStr">
        <is>
          <t>Fixando</t>
        </is>
      </c>
      <c r="C25" s="10" t="inlineStr">
        <is>
          <t>Services marketplace</t>
        </is>
      </c>
      <c r="D25" s="10" t="inlineStr">
        <is>
          <t>LU, FR, CH, BR</t>
        </is>
      </c>
      <c r="E25" s="10" t="inlineStr">
        <is>
          <t>C</t>
        </is>
      </c>
      <c r="F25" s="10" t="inlineStr">
        <is>
          <t>L</t>
        </is>
      </c>
      <c r="G25" s="10" t="n"/>
      <c r="H25" s="10" t="inlineStr">
        <is>
          <t>Large or generic; no proof of spend on our audience</t>
        </is>
      </c>
      <c r="I25" s="10" t="n"/>
      <c r="J25" s="10" t="n"/>
      <c r="K25" s="10" t="inlineStr">
        <is>
          <t>Owner or marketing lead</t>
        </is>
      </c>
      <c r="L25" s="10" t="inlineStr">
        <is>
          <t>LinkedIn (named role); general partnerships email as backup</t>
        </is>
      </c>
      <c r="M25" s="10" t="inlineStr">
        <is>
          <t>Silver</t>
        </is>
      </c>
      <c r="N25" s="14">
        <f>INDEX(Settings!$B$4:$B$15,MATCH(M25,Settings!$A$4:$A$15,0))</f>
        <v/>
      </c>
      <c r="O25" s="15">
        <f>IF(E25="A",IF(I25&gt;=2022,Settings!$B$18,Settings!$B$19),IF(E25="B",Settings!$B$20,Settings!$B$21))+IF(F25="S",Settings!$B$22,0)</f>
        <v/>
      </c>
      <c r="P25" s="14">
        <f>N25*O25</f>
        <v/>
      </c>
      <c r="Q25" s="16">
        <f>P25*INDEX(Settings!$B$25:$B$27,MATCH(F25,Settings!$A$25:$A$27,0))</f>
        <v/>
      </c>
      <c r="R25" s="10" t="inlineStr">
        <is>
          <t>Parked</t>
        </is>
      </c>
      <c r="S25" s="10" t="inlineStr">
        <is>
          <t>Revisit when 1,000 subscribers or a warm intro exists</t>
        </is>
      </c>
      <c r="T25" s="10" t="inlineStr">
        <is>
          <t>2026-12-01</t>
        </is>
      </c>
      <c r="U25" s="10" t="inlineStr">
        <is>
          <t>CEO</t>
        </is>
      </c>
      <c r="V25" s="10" t="inlineStr">
        <is>
          <t>not assessed</t>
        </is>
      </c>
    </row>
    <row r="26">
      <c r="A26" s="10" t="inlineStr">
        <is>
          <t>S154</t>
        </is>
      </c>
      <c r="B26" s="11" t="inlineStr">
        <is>
          <t>Fortera</t>
        </is>
      </c>
      <c r="C26" s="10" t="inlineStr">
        <is>
          <t>Developer</t>
        </is>
      </c>
      <c r="D26" s="10" t="inlineStr">
        <is>
          <t>IL, US</t>
        </is>
      </c>
      <c r="E26" s="10" t="inlineStr">
        <is>
          <t>C</t>
        </is>
      </c>
      <c r="F26" s="10" t="inlineStr">
        <is>
          <t>L</t>
        </is>
      </c>
      <c r="G26" s="13" t="inlineStr">
        <is>
          <t>https://www.essential-business.pt/?p=16891</t>
        </is>
      </c>
      <c r="H26" s="10" t="inlineStr">
        <is>
          <t>Israeli developer; 500 M€ plan for about 1,000 homes in Greater Porto (Mar 2022), Skyline tower in Gaia. No evidence of marketing to foreign buyers, and it advertises an average 24% yield to investors, which our editorial policy does not let us repeat</t>
        </is>
      </c>
      <c r="I26" s="10" t="n">
        <v>2022</v>
      </c>
      <c r="J26" s="10" t="inlineStr">
        <is>
          <t>Fetched</t>
        </is>
      </c>
      <c r="K26" s="10" t="inlineStr">
        <is>
          <t>Sales or marketing director</t>
        </is>
      </c>
      <c r="L26" s="10" t="inlineStr">
        <is>
          <t>LinkedIn (named role); general partnerships email as backup</t>
        </is>
      </c>
      <c r="M26" s="10" t="inlineStr">
        <is>
          <t>Campaign</t>
        </is>
      </c>
      <c r="N26" s="14">
        <f>INDEX(Settings!$B$4:$B$15,MATCH(M26,Settings!$A$4:$A$15,0))</f>
        <v/>
      </c>
      <c r="O26" s="15">
        <f>IF(E26="A",IF(I26&gt;=2022,Settings!$B$18,Settings!$B$19),IF(E26="B",Settings!$B$20,Settings!$B$21))+IF(F26="S",Settings!$B$22,0)</f>
        <v/>
      </c>
      <c r="P26" s="14">
        <f>N26*O26</f>
        <v/>
      </c>
      <c r="Q26" s="16">
        <f>P26*INDEX(Settings!$B$25:$B$27,MATCH(F26,Settings!$A$25:$A$27,0))</f>
        <v/>
      </c>
      <c r="R26" s="10" t="inlineStr">
        <is>
          <t>Parked</t>
        </is>
      </c>
      <c r="S26" s="10" t="inlineStr">
        <is>
          <t>Revisit when 1,000 subscribers or a warm intro exists</t>
        </is>
      </c>
      <c r="T26" s="10" t="inlineStr">
        <is>
          <t>2026-12-01</t>
        </is>
      </c>
      <c r="U26" s="10" t="inlineStr">
        <is>
          <t>CEO</t>
        </is>
      </c>
      <c r="V26" s="10" t="inlineStr">
        <is>
          <t>Israel</t>
        </is>
      </c>
    </row>
    <row r="27">
      <c r="A27" s="10" t="inlineStr">
        <is>
          <t>S092</t>
        </is>
      </c>
      <c r="B27" s="11" t="inlineStr">
        <is>
          <t>Foyer</t>
        </is>
      </c>
      <c r="C27" s="10" t="inlineStr">
        <is>
          <t>Insurance (Luxembourg)</t>
        </is>
      </c>
      <c r="D27" s="10" t="inlineStr">
        <is>
          <t>LU</t>
        </is>
      </c>
      <c r="E27" s="10" t="inlineStr">
        <is>
          <t>C</t>
        </is>
      </c>
      <c r="F27" s="10" t="inlineStr">
        <is>
          <t>L</t>
        </is>
      </c>
      <c r="G27" s="10" t="n"/>
      <c r="H27" s="10" t="inlineStr">
        <is>
          <t>Large or generic; no proof of spend on our audience</t>
        </is>
      </c>
      <c r="I27" s="10" t="n"/>
      <c r="J27" s="10" t="n"/>
      <c r="K27" s="10" t="inlineStr">
        <is>
          <t>Marketing lead, retail</t>
        </is>
      </c>
      <c r="L27" s="10" t="inlineStr">
        <is>
          <t>LinkedIn (named role); general partnerships email as backup</t>
        </is>
      </c>
      <c r="M27" s="10" t="inlineStr">
        <is>
          <t>Silver</t>
        </is>
      </c>
      <c r="N27" s="14">
        <f>INDEX(Settings!$B$4:$B$15,MATCH(M27,Settings!$A$4:$A$15,0))</f>
        <v/>
      </c>
      <c r="O27" s="15">
        <f>IF(E27="A",IF(I27&gt;=2022,Settings!$B$18,Settings!$B$19),IF(E27="B",Settings!$B$20,Settings!$B$21))+IF(F27="S",Settings!$B$22,0)</f>
        <v/>
      </c>
      <c r="P27" s="14">
        <f>N27*O27</f>
        <v/>
      </c>
      <c r="Q27" s="16">
        <f>P27*INDEX(Settings!$B$25:$B$27,MATCH(F27,Settings!$A$25:$A$27,0))</f>
        <v/>
      </c>
      <c r="R27" s="10" t="inlineStr">
        <is>
          <t>Parked</t>
        </is>
      </c>
      <c r="S27" s="10" t="inlineStr">
        <is>
          <t>Revisit when 1,000 subscribers or a warm intro exists</t>
        </is>
      </c>
      <c r="T27" s="10" t="inlineStr">
        <is>
          <t>2026-12-01</t>
        </is>
      </c>
      <c r="U27" s="10" t="inlineStr">
        <is>
          <t>CEO</t>
        </is>
      </c>
      <c r="V27" s="10" t="inlineStr">
        <is>
          <t>not assessed</t>
        </is>
      </c>
    </row>
    <row r="28">
      <c r="A28" s="10" t="inlineStr">
        <is>
          <t>S093</t>
        </is>
      </c>
      <c r="B28" s="11" t="inlineStr">
        <is>
          <t>Galp Solar</t>
        </is>
      </c>
      <c r="C28" s="10" t="inlineStr">
        <is>
          <t>Solar</t>
        </is>
      </c>
      <c r="D28" s="10" t="inlineStr">
        <is>
          <t>LU, FR, CH, BR</t>
        </is>
      </c>
      <c r="E28" s="10" t="inlineStr">
        <is>
          <t>C</t>
        </is>
      </c>
      <c r="F28" s="10" t="inlineStr">
        <is>
          <t>L</t>
        </is>
      </c>
      <c r="G28" s="10" t="n"/>
      <c r="H28" s="10" t="inlineStr">
        <is>
          <t>Large or generic; no proof of spend on our audience</t>
        </is>
      </c>
      <c r="I28" s="10" t="n"/>
      <c r="J28" s="10" t="n"/>
      <c r="K28" s="10" t="inlineStr">
        <is>
          <t>Owner or marketing lead</t>
        </is>
      </c>
      <c r="L28" s="10" t="inlineStr">
        <is>
          <t>LinkedIn (named role); general partnerships email as backup</t>
        </is>
      </c>
      <c r="M28" s="10" t="inlineStr">
        <is>
          <t>Silver</t>
        </is>
      </c>
      <c r="N28" s="14">
        <f>INDEX(Settings!$B$4:$B$15,MATCH(M28,Settings!$A$4:$A$15,0))</f>
        <v/>
      </c>
      <c r="O28" s="15">
        <f>IF(E28="A",IF(I28&gt;=2022,Settings!$B$18,Settings!$B$19),IF(E28="B",Settings!$B$20,Settings!$B$21))+IF(F28="S",Settings!$B$22,0)</f>
        <v/>
      </c>
      <c r="P28" s="14">
        <f>N28*O28</f>
        <v/>
      </c>
      <c r="Q28" s="16">
        <f>P28*INDEX(Settings!$B$25:$B$27,MATCH(F28,Settings!$A$25:$A$27,0))</f>
        <v/>
      </c>
      <c r="R28" s="10" t="inlineStr">
        <is>
          <t>Parked</t>
        </is>
      </c>
      <c r="S28" s="10" t="inlineStr">
        <is>
          <t>Revisit when 1,000 subscribers or a warm intro exists</t>
        </is>
      </c>
      <c r="T28" s="10" t="inlineStr">
        <is>
          <t>2026-12-01</t>
        </is>
      </c>
      <c r="U28" s="10" t="inlineStr">
        <is>
          <t>CEO</t>
        </is>
      </c>
      <c r="V28" s="10" t="inlineStr">
        <is>
          <t>not assessed</t>
        </is>
      </c>
    </row>
    <row r="29">
      <c r="A29" s="10" t="inlineStr">
        <is>
          <t>S094</t>
        </is>
      </c>
      <c r="B29" s="11" t="inlineStr">
        <is>
          <t>Generali Tranquilidade</t>
        </is>
      </c>
      <c r="C29" s="10" t="inlineStr">
        <is>
          <t>Insurance</t>
        </is>
      </c>
      <c r="D29" s="10" t="inlineStr">
        <is>
          <t>LU, FR, CH, BR</t>
        </is>
      </c>
      <c r="E29" s="10" t="inlineStr">
        <is>
          <t>C</t>
        </is>
      </c>
      <c r="F29" s="10" t="inlineStr">
        <is>
          <t>L</t>
        </is>
      </c>
      <c r="G29" s="10" t="n"/>
      <c r="H29" s="10" t="inlineStr">
        <is>
          <t>Large or generic; no proof of spend on our audience</t>
        </is>
      </c>
      <c r="I29" s="10" t="n"/>
      <c r="J29" s="10" t="n"/>
      <c r="K29" s="10" t="inlineStr">
        <is>
          <t>Marketing lead, retail</t>
        </is>
      </c>
      <c r="L29" s="10" t="inlineStr">
        <is>
          <t>LinkedIn (named role); general partnerships email as backup</t>
        </is>
      </c>
      <c r="M29" s="10" t="inlineStr">
        <is>
          <t>Silver</t>
        </is>
      </c>
      <c r="N29" s="14">
        <f>INDEX(Settings!$B$4:$B$15,MATCH(M29,Settings!$A$4:$A$15,0))</f>
        <v/>
      </c>
      <c r="O29" s="15">
        <f>IF(E29="A",IF(I29&gt;=2022,Settings!$B$18,Settings!$B$19),IF(E29="B",Settings!$B$20,Settings!$B$21))+IF(F29="S",Settings!$B$22,0)</f>
        <v/>
      </c>
      <c r="P29" s="14">
        <f>N29*O29</f>
        <v/>
      </c>
      <c r="Q29" s="16">
        <f>P29*INDEX(Settings!$B$25:$B$27,MATCH(F29,Settings!$A$25:$A$27,0))</f>
        <v/>
      </c>
      <c r="R29" s="10" t="inlineStr">
        <is>
          <t>Parked</t>
        </is>
      </c>
      <c r="S29" s="10" t="inlineStr">
        <is>
          <t>Revisit when 1,000 subscribers or a warm intro exists</t>
        </is>
      </c>
      <c r="T29" s="10" t="inlineStr">
        <is>
          <t>2026-12-01</t>
        </is>
      </c>
      <c r="U29" s="10" t="inlineStr">
        <is>
          <t>CEO</t>
        </is>
      </c>
      <c r="V29" s="10" t="inlineStr">
        <is>
          <t>not assessed</t>
        </is>
      </c>
    </row>
    <row r="30">
      <c r="A30" s="10" t="inlineStr">
        <is>
          <t>S095</t>
        </is>
      </c>
      <c r="B30" s="11" t="inlineStr">
        <is>
          <t>Global Citizen Solutions</t>
        </is>
      </c>
      <c r="C30" s="10" t="inlineStr">
        <is>
          <t>Residency advisory</t>
        </is>
      </c>
      <c r="D30" s="10" t="inlineStr">
        <is>
          <t>LU, FR, CH, BR</t>
        </is>
      </c>
      <c r="E30" s="10" t="inlineStr">
        <is>
          <t>C</t>
        </is>
      </c>
      <c r="F30" s="10" t="inlineStr">
        <is>
          <t>L</t>
        </is>
      </c>
      <c r="G30" s="10" t="n"/>
      <c r="H30" s="10" t="inlineStr">
        <is>
          <t>Large or generic; no proof of spend on our audience</t>
        </is>
      </c>
      <c r="I30" s="10" t="n"/>
      <c r="J30" s="10" t="n"/>
      <c r="K30" s="10" t="inlineStr">
        <is>
          <t>Managing partner or business development</t>
        </is>
      </c>
      <c r="L30" s="10" t="inlineStr">
        <is>
          <t>LinkedIn (named role); general partnerships email as backup</t>
        </is>
      </c>
      <c r="M30" s="10" t="inlineStr">
        <is>
          <t>Silver</t>
        </is>
      </c>
      <c r="N30" s="14">
        <f>INDEX(Settings!$B$4:$B$15,MATCH(M30,Settings!$A$4:$A$15,0))</f>
        <v/>
      </c>
      <c r="O30" s="15">
        <f>IF(E30="A",IF(I30&gt;=2022,Settings!$B$18,Settings!$B$19),IF(E30="B",Settings!$B$20,Settings!$B$21))+IF(F30="S",Settings!$B$22,0)</f>
        <v/>
      </c>
      <c r="P30" s="14">
        <f>N30*O30</f>
        <v/>
      </c>
      <c r="Q30" s="16">
        <f>P30*INDEX(Settings!$B$25:$B$27,MATCH(F30,Settings!$A$25:$A$27,0))</f>
        <v/>
      </c>
      <c r="R30" s="10" t="inlineStr">
        <is>
          <t>Parked</t>
        </is>
      </c>
      <c r="S30" s="10" t="inlineStr">
        <is>
          <t>Revisit when 1,000 subscribers or a warm intro exists</t>
        </is>
      </c>
      <c r="T30" s="10" t="inlineStr">
        <is>
          <t>2026-12-01</t>
        </is>
      </c>
      <c r="U30" s="10" t="inlineStr">
        <is>
          <t>CEO</t>
        </is>
      </c>
      <c r="V30" s="10" t="inlineStr">
        <is>
          <t>not assessed</t>
        </is>
      </c>
    </row>
    <row r="31">
      <c r="A31" s="10" t="inlineStr">
        <is>
          <t>S142</t>
        </is>
      </c>
      <c r="B31" s="11" t="inlineStr">
        <is>
          <t>Habit Seguros</t>
        </is>
      </c>
      <c r="C31" s="10" t="inlineStr">
        <is>
          <t>Insurance</t>
        </is>
      </c>
      <c r="D31" s="10" t="inlineStr">
        <is>
          <t>LU, FR, CH, BR, US, IL</t>
        </is>
      </c>
      <c r="E31" s="10" t="inlineStr">
        <is>
          <t>C</t>
        </is>
      </c>
      <c r="F31" s="10" t="inlineStr">
        <is>
          <t>L</t>
        </is>
      </c>
      <c r="G31" s="13" t="inlineStr">
        <is>
          <t>https://www.doutorfinancas.pt/seguro-vida-geral/</t>
        </is>
      </c>
      <c r="H31" s="10" t="inlineStr">
        <is>
          <t>Insurer listed as a partner by Doutor Finanças' insurance intermediary (Doutor Finanças Protege) (prompt 13); no proof of spend on our audience</t>
        </is>
      </c>
      <c r="I31" s="10" t="n">
        <v>2026</v>
      </c>
      <c r="J31" s="10" t="inlineStr">
        <is>
          <t>Fetched</t>
        </is>
      </c>
      <c r="K31" s="10" t="inlineStr">
        <is>
          <t>Marketing lead, intermediary / partnerships</t>
        </is>
      </c>
      <c r="L31" s="10" t="inlineStr">
        <is>
          <t>LinkedIn (named role); general partnerships email as backup</t>
        </is>
      </c>
      <c r="M31" s="10" t="inlineStr">
        <is>
          <t>Silver</t>
        </is>
      </c>
      <c r="N31" s="14">
        <f>INDEX(Settings!$B$4:$B$15,MATCH(M31,Settings!$A$4:$A$15,0))</f>
        <v/>
      </c>
      <c r="O31" s="15">
        <f>IF(E31="A",IF(I31&gt;=2022,Settings!$B$18,Settings!$B$19),IF(E31="B",Settings!$B$20,Settings!$B$21))+IF(F31="S",Settings!$B$22,0)</f>
        <v/>
      </c>
      <c r="P31" s="14">
        <f>N31*O31</f>
        <v/>
      </c>
      <c r="Q31" s="16">
        <f>P31*INDEX(Settings!$B$25:$B$27,MATCH(F31,Settings!$A$25:$A$27,0))</f>
        <v/>
      </c>
      <c r="R31" s="10" t="inlineStr">
        <is>
          <t>Parked</t>
        </is>
      </c>
      <c r="S31" s="10" t="inlineStr">
        <is>
          <t>Revisit when 1,000 subscribers or a warm intro exists</t>
        </is>
      </c>
      <c r="T31" s="10" t="inlineStr">
        <is>
          <t>2026-12-01</t>
        </is>
      </c>
      <c r="U31" s="10" t="inlineStr">
        <is>
          <t>CEO</t>
        </is>
      </c>
      <c r="V31" s="10" t="inlineStr">
        <is>
          <t>not assessed</t>
        </is>
      </c>
    </row>
    <row r="32">
      <c r="A32" s="10" t="inlineStr">
        <is>
          <t>S096</t>
        </is>
      </c>
      <c r="B32" s="11" t="inlineStr">
        <is>
          <t>IKEA Portugal</t>
        </is>
      </c>
      <c r="C32" s="10" t="inlineStr">
        <is>
          <t>Home furnishing</t>
        </is>
      </c>
      <c r="D32" s="10" t="inlineStr">
        <is>
          <t>LU, FR, CH, BR</t>
        </is>
      </c>
      <c r="E32" s="10" t="inlineStr">
        <is>
          <t>C</t>
        </is>
      </c>
      <c r="F32" s="10" t="inlineStr">
        <is>
          <t>L</t>
        </is>
      </c>
      <c r="G32" s="10" t="n"/>
      <c r="H32" s="10" t="inlineStr">
        <is>
          <t>Large or generic; no proof of spend on our audience</t>
        </is>
      </c>
      <c r="I32" s="10" t="n"/>
      <c r="J32" s="10" t="n"/>
      <c r="K32" s="10" t="inlineStr">
        <is>
          <t>Owner or marketing lead</t>
        </is>
      </c>
      <c r="L32" s="10" t="inlineStr">
        <is>
          <t>LinkedIn (named role); general partnerships email as backup</t>
        </is>
      </c>
      <c r="M32" s="10" t="inlineStr">
        <is>
          <t>Silver</t>
        </is>
      </c>
      <c r="N32" s="14">
        <f>INDEX(Settings!$B$4:$B$15,MATCH(M32,Settings!$A$4:$A$15,0))</f>
        <v/>
      </c>
      <c r="O32" s="15">
        <f>IF(E32="A",IF(I32&gt;=2022,Settings!$B$18,Settings!$B$19),IF(E32="B",Settings!$B$20,Settings!$B$21))+IF(F32="S",Settings!$B$22,0)</f>
        <v/>
      </c>
      <c r="P32" s="14">
        <f>N32*O32</f>
        <v/>
      </c>
      <c r="Q32" s="16">
        <f>P32*INDEX(Settings!$B$25:$B$27,MATCH(F32,Settings!$A$25:$A$27,0))</f>
        <v/>
      </c>
      <c r="R32" s="10" t="inlineStr">
        <is>
          <t>Parked</t>
        </is>
      </c>
      <c r="S32" s="10" t="inlineStr">
        <is>
          <t>Revisit when 1,000 subscribers or a warm intro exists</t>
        </is>
      </c>
      <c r="T32" s="10" t="inlineStr">
        <is>
          <t>2026-12-01</t>
        </is>
      </c>
      <c r="U32" s="10" t="inlineStr">
        <is>
          <t>CEO</t>
        </is>
      </c>
      <c r="V32" s="10" t="inlineStr">
        <is>
          <t>not assessed</t>
        </is>
      </c>
    </row>
    <row r="33">
      <c r="A33" s="10" t="inlineStr">
        <is>
          <t>S097</t>
        </is>
      </c>
      <c r="B33" s="11" t="inlineStr">
        <is>
          <t>ING Luxembourg</t>
        </is>
      </c>
      <c r="C33" s="10" t="inlineStr">
        <is>
          <t>Bank (Luxembourg)</t>
        </is>
      </c>
      <c r="D33" s="10" t="inlineStr">
        <is>
          <t>LU</t>
        </is>
      </c>
      <c r="E33" s="10" t="inlineStr">
        <is>
          <t>C</t>
        </is>
      </c>
      <c r="F33" s="10" t="inlineStr">
        <is>
          <t>L</t>
        </is>
      </c>
      <c r="G33" s="10" t="n"/>
      <c r="H33" s="10" t="inlineStr">
        <is>
          <t>Large or generic; no proof of spend on our audience</t>
        </is>
      </c>
      <c r="I33" s="10" t="n"/>
      <c r="J33" s="10" t="n"/>
      <c r="K33" s="10" t="inlineStr">
        <is>
          <t>Marketing lead, non-resident / emigrant segment</t>
        </is>
      </c>
      <c r="L33" s="10" t="inlineStr">
        <is>
          <t>LinkedIn (named role); general partnerships email as backup</t>
        </is>
      </c>
      <c r="M33" s="10" t="inlineStr">
        <is>
          <t>Gold</t>
        </is>
      </c>
      <c r="N33" s="14">
        <f>INDEX(Settings!$B$4:$B$15,MATCH(M33,Settings!$A$4:$A$15,0))</f>
        <v/>
      </c>
      <c r="O33" s="15">
        <f>IF(E33="A",IF(I33&gt;=2022,Settings!$B$18,Settings!$B$19),IF(E33="B",Settings!$B$20,Settings!$B$21))+IF(F33="S",Settings!$B$22,0)</f>
        <v/>
      </c>
      <c r="P33" s="14">
        <f>N33*O33</f>
        <v/>
      </c>
      <c r="Q33" s="16">
        <f>P33*INDEX(Settings!$B$25:$B$27,MATCH(F33,Settings!$A$25:$A$27,0))</f>
        <v/>
      </c>
      <c r="R33" s="10" t="inlineStr">
        <is>
          <t>Parked</t>
        </is>
      </c>
      <c r="S33" s="10" t="inlineStr">
        <is>
          <t>Revisit when 1,000 subscribers or a warm intro exists</t>
        </is>
      </c>
      <c r="T33" s="10" t="inlineStr">
        <is>
          <t>2026-12-01</t>
        </is>
      </c>
      <c r="U33" s="10" t="inlineStr">
        <is>
          <t>CEO</t>
        </is>
      </c>
      <c r="V33" s="10" t="inlineStr">
        <is>
          <t>not assessed</t>
        </is>
      </c>
    </row>
    <row r="34">
      <c r="A34" s="10" t="inlineStr">
        <is>
          <t>S143</t>
        </is>
      </c>
      <c r="B34" s="11" t="inlineStr">
        <is>
          <t>Innovarisk</t>
        </is>
      </c>
      <c r="C34" s="10" t="inlineStr">
        <is>
          <t>Insurance</t>
        </is>
      </c>
      <c r="D34" s="10" t="inlineStr">
        <is>
          <t>LU, FR, CH, BR, US, IL</t>
        </is>
      </c>
      <c r="E34" s="10" t="inlineStr">
        <is>
          <t>C</t>
        </is>
      </c>
      <c r="F34" s="10" t="inlineStr">
        <is>
          <t>L</t>
        </is>
      </c>
      <c r="G34" s="13" t="inlineStr">
        <is>
          <t>https://www.doutorfinancas.pt/seguro-vida-geral/</t>
        </is>
      </c>
      <c r="H34" s="10" t="inlineStr">
        <is>
          <t>Insurer listed as a partner by Doutor Finanças' insurance intermediary (Doutor Finanças Protege) (prompt 13); no proof of spend on our audience</t>
        </is>
      </c>
      <c r="I34" s="10" t="n">
        <v>2026</v>
      </c>
      <c r="J34" s="10" t="inlineStr">
        <is>
          <t>Fetched</t>
        </is>
      </c>
      <c r="K34" s="10" t="inlineStr">
        <is>
          <t>Marketing lead, intermediary / partnerships</t>
        </is>
      </c>
      <c r="L34" s="10" t="inlineStr">
        <is>
          <t>LinkedIn (named role); general partnerships email as backup</t>
        </is>
      </c>
      <c r="M34" s="10" t="inlineStr">
        <is>
          <t>Silver</t>
        </is>
      </c>
      <c r="N34" s="14">
        <f>INDEX(Settings!$B$4:$B$15,MATCH(M34,Settings!$A$4:$A$15,0))</f>
        <v/>
      </c>
      <c r="O34" s="15">
        <f>IF(E34="A",IF(I34&gt;=2022,Settings!$B$18,Settings!$B$19),IF(E34="B",Settings!$B$20,Settings!$B$21))+IF(F34="S",Settings!$B$22,0)</f>
        <v/>
      </c>
      <c r="P34" s="14">
        <f>N34*O34</f>
        <v/>
      </c>
      <c r="Q34" s="16">
        <f>P34*INDEX(Settings!$B$25:$B$27,MATCH(F34,Settings!$A$25:$A$27,0))</f>
        <v/>
      </c>
      <c r="R34" s="10" t="inlineStr">
        <is>
          <t>Parked</t>
        </is>
      </c>
      <c r="S34" s="10" t="inlineStr">
        <is>
          <t>Revisit when 1,000 subscribers or a warm intro exists</t>
        </is>
      </c>
      <c r="T34" s="10" t="inlineStr">
        <is>
          <t>2026-12-01</t>
        </is>
      </c>
      <c r="U34" s="10" t="inlineStr">
        <is>
          <t>CEO</t>
        </is>
      </c>
      <c r="V34" s="10" t="inlineStr">
        <is>
          <t>not assessed</t>
        </is>
      </c>
    </row>
    <row r="35">
      <c r="A35" s="10" t="inlineStr">
        <is>
          <t>S098</t>
        </is>
      </c>
      <c r="B35" s="11" t="inlineStr">
        <is>
          <t>Internorte</t>
        </is>
      </c>
      <c r="C35" s="10" t="inlineStr">
        <is>
          <t>Coach travel</t>
        </is>
      </c>
      <c r="D35" s="10" t="inlineStr">
        <is>
          <t>LU, FR, CH, BR</t>
        </is>
      </c>
      <c r="E35" s="10" t="inlineStr">
        <is>
          <t>C</t>
        </is>
      </c>
      <c r="F35" s="10" t="inlineStr">
        <is>
          <t>L</t>
        </is>
      </c>
      <c r="G35" s="10" t="n"/>
      <c r="H35" s="10" t="inlineStr">
        <is>
          <t>Large or generic; no proof of spend on our audience</t>
        </is>
      </c>
      <c r="I35" s="10" t="n"/>
      <c r="J35" s="10" t="n"/>
      <c r="K35" s="10" t="inlineStr">
        <is>
          <t>Owner or marketing lead</t>
        </is>
      </c>
      <c r="L35" s="10" t="inlineStr">
        <is>
          <t>LinkedIn (named role); general partnerships email as backup</t>
        </is>
      </c>
      <c r="M35" s="10" t="inlineStr">
        <is>
          <t>Silver</t>
        </is>
      </c>
      <c r="N35" s="14">
        <f>INDEX(Settings!$B$4:$B$15,MATCH(M35,Settings!$A$4:$A$15,0))</f>
        <v/>
      </c>
      <c r="O35" s="15">
        <f>IF(E35="A",IF(I35&gt;=2022,Settings!$B$18,Settings!$B$19),IF(E35="B",Settings!$B$20,Settings!$B$21))+IF(F35="S",Settings!$B$22,0)</f>
        <v/>
      </c>
      <c r="P35" s="14">
        <f>N35*O35</f>
        <v/>
      </c>
      <c r="Q35" s="16">
        <f>P35*INDEX(Settings!$B$25:$B$27,MATCH(F35,Settings!$A$25:$A$27,0))</f>
        <v/>
      </c>
      <c r="R35" s="10" t="inlineStr">
        <is>
          <t>Parked</t>
        </is>
      </c>
      <c r="S35" s="10" t="inlineStr">
        <is>
          <t>Revisit when 1,000 subscribers or a warm intro exists</t>
        </is>
      </c>
      <c r="T35" s="10" t="inlineStr">
        <is>
          <t>2026-12-01</t>
        </is>
      </c>
      <c r="U35" s="10" t="inlineStr">
        <is>
          <t>CEO</t>
        </is>
      </c>
      <c r="V35" s="10" t="inlineStr">
        <is>
          <t>not assessed</t>
        </is>
      </c>
    </row>
    <row r="36">
      <c r="A36" s="10" t="inlineStr">
        <is>
          <t>S099</t>
        </is>
      </c>
      <c r="B36" s="11" t="inlineStr">
        <is>
          <t>JLL Portugal</t>
        </is>
      </c>
      <c r="C36" s="10" t="inlineStr">
        <is>
          <t>Real estate services</t>
        </is>
      </c>
      <c r="D36" s="10" t="inlineStr">
        <is>
          <t>LU, FR, CH, BR</t>
        </is>
      </c>
      <c r="E36" s="10" t="inlineStr">
        <is>
          <t>C</t>
        </is>
      </c>
      <c r="F36" s="10" t="inlineStr">
        <is>
          <t>L</t>
        </is>
      </c>
      <c r="G36" s="10" t="n"/>
      <c r="H36" s="10" t="inlineStr">
        <is>
          <t>Large or generic; no proof of spend on our audience</t>
        </is>
      </c>
      <c r="I36" s="10" t="n"/>
      <c r="J36" s="10" t="n"/>
      <c r="K36" s="10" t="inlineStr">
        <is>
          <t>Owner or marketing lead</t>
        </is>
      </c>
      <c r="L36" s="10" t="inlineStr">
        <is>
          <t>LinkedIn (named role); general partnerships email as backup</t>
        </is>
      </c>
      <c r="M36" s="10" t="inlineStr">
        <is>
          <t>Silver</t>
        </is>
      </c>
      <c r="N36" s="14">
        <f>INDEX(Settings!$B$4:$B$15,MATCH(M36,Settings!$A$4:$A$15,0))</f>
        <v/>
      </c>
      <c r="O36" s="15">
        <f>IF(E36="A",IF(I36&gt;=2022,Settings!$B$18,Settings!$B$19),IF(E36="B",Settings!$B$20,Settings!$B$21))+IF(F36="S",Settings!$B$22,0)</f>
        <v/>
      </c>
      <c r="P36" s="14">
        <f>N36*O36</f>
        <v/>
      </c>
      <c r="Q36" s="16">
        <f>P36*INDEX(Settings!$B$25:$B$27,MATCH(F36,Settings!$A$25:$A$27,0))</f>
        <v/>
      </c>
      <c r="R36" s="10" t="inlineStr">
        <is>
          <t>Parked</t>
        </is>
      </c>
      <c r="S36" s="10" t="inlineStr">
        <is>
          <t>Revisit when 1,000 subscribers or a warm intro exists</t>
        </is>
      </c>
      <c r="T36" s="10" t="inlineStr">
        <is>
          <t>2026-12-01</t>
        </is>
      </c>
      <c r="U36" s="10" t="inlineStr">
        <is>
          <t>CEO</t>
        </is>
      </c>
      <c r="V36" s="10" t="inlineStr">
        <is>
          <t>not assessed</t>
        </is>
      </c>
    </row>
    <row r="37">
      <c r="A37" s="10" t="inlineStr">
        <is>
          <t>S100</t>
        </is>
      </c>
      <c r="B37" s="11" t="inlineStr">
        <is>
          <t>JPS Group</t>
        </is>
      </c>
      <c r="C37" s="10" t="inlineStr">
        <is>
          <t>Developer</t>
        </is>
      </c>
      <c r="D37" s="10" t="inlineStr">
        <is>
          <t>LU, FR, CH, BR</t>
        </is>
      </c>
      <c r="E37" s="10" t="inlineStr">
        <is>
          <t>C</t>
        </is>
      </c>
      <c r="F37" s="10" t="inlineStr">
        <is>
          <t>L</t>
        </is>
      </c>
      <c r="G37" s="10" t="n"/>
      <c r="H37" s="10" t="inlineStr">
        <is>
          <t>Large or generic; no proof of spend on our audience</t>
        </is>
      </c>
      <c r="I37" s="10" t="n"/>
      <c r="J37" s="10" t="n"/>
      <c r="K37" s="10" t="inlineStr">
        <is>
          <t>Sales or marketing director</t>
        </is>
      </c>
      <c r="L37" s="10" t="inlineStr">
        <is>
          <t>LinkedIn (named role); general partnerships email as backup</t>
        </is>
      </c>
      <c r="M37" s="10" t="inlineStr">
        <is>
          <t>Silver</t>
        </is>
      </c>
      <c r="N37" s="14">
        <f>INDEX(Settings!$B$4:$B$15,MATCH(M37,Settings!$A$4:$A$15,0))</f>
        <v/>
      </c>
      <c r="O37" s="15">
        <f>IF(E37="A",IF(I37&gt;=2022,Settings!$B$18,Settings!$B$19),IF(E37="B",Settings!$B$20,Settings!$B$21))+IF(F37="S",Settings!$B$22,0)</f>
        <v/>
      </c>
      <c r="P37" s="14">
        <f>N37*O37</f>
        <v/>
      </c>
      <c r="Q37" s="16">
        <f>P37*INDEX(Settings!$B$25:$B$27,MATCH(F37,Settings!$A$25:$A$27,0))</f>
        <v/>
      </c>
      <c r="R37" s="10" t="inlineStr">
        <is>
          <t>Parked</t>
        </is>
      </c>
      <c r="S37" s="10" t="inlineStr">
        <is>
          <t>Revisit when 1,000 subscribers or a warm intro exists</t>
        </is>
      </c>
      <c r="T37" s="10" t="inlineStr">
        <is>
          <t>2026-12-01</t>
        </is>
      </c>
      <c r="U37" s="10" t="inlineStr">
        <is>
          <t>CEO</t>
        </is>
      </c>
      <c r="V37" s="10" t="inlineStr">
        <is>
          <t>not assessed</t>
        </is>
      </c>
    </row>
    <row r="38">
      <c r="A38" s="10" t="inlineStr">
        <is>
          <t>S101</t>
        </is>
      </c>
      <c r="B38" s="11" t="inlineStr">
        <is>
          <t>Kronos Homes</t>
        </is>
      </c>
      <c r="C38" s="10" t="inlineStr">
        <is>
          <t>Developer</t>
        </is>
      </c>
      <c r="D38" s="10" t="inlineStr">
        <is>
          <t>LU, FR, CH, BR</t>
        </is>
      </c>
      <c r="E38" s="10" t="inlineStr">
        <is>
          <t>C</t>
        </is>
      </c>
      <c r="F38" s="10" t="inlineStr">
        <is>
          <t>L</t>
        </is>
      </c>
      <c r="G38" s="10" t="n"/>
      <c r="H38" s="10" t="inlineStr">
        <is>
          <t>Large or generic; no proof of spend on our audience</t>
        </is>
      </c>
      <c r="I38" s="10" t="n"/>
      <c r="J38" s="10" t="n"/>
      <c r="K38" s="10" t="inlineStr">
        <is>
          <t>Sales or marketing director</t>
        </is>
      </c>
      <c r="L38" s="10" t="inlineStr">
        <is>
          <t>LinkedIn (named role); general partnerships email as backup</t>
        </is>
      </c>
      <c r="M38" s="10" t="inlineStr">
        <is>
          <t>Silver</t>
        </is>
      </c>
      <c r="N38" s="14">
        <f>INDEX(Settings!$B$4:$B$15,MATCH(M38,Settings!$A$4:$A$15,0))</f>
        <v/>
      </c>
      <c r="O38" s="15">
        <f>IF(E38="A",IF(I38&gt;=2022,Settings!$B$18,Settings!$B$19),IF(E38="B",Settings!$B$20,Settings!$B$21))+IF(F38="S",Settings!$B$22,0)</f>
        <v/>
      </c>
      <c r="P38" s="14">
        <f>N38*O38</f>
        <v/>
      </c>
      <c r="Q38" s="16">
        <f>P38*INDEX(Settings!$B$25:$B$27,MATCH(F38,Settings!$A$25:$A$27,0))</f>
        <v/>
      </c>
      <c r="R38" s="10" t="inlineStr">
        <is>
          <t>Parked</t>
        </is>
      </c>
      <c r="S38" s="10" t="inlineStr">
        <is>
          <t>Revisit when 1,000 subscribers or a warm intro exists</t>
        </is>
      </c>
      <c r="T38" s="10" t="inlineStr">
        <is>
          <t>2026-12-01</t>
        </is>
      </c>
      <c r="U38" s="10" t="inlineStr">
        <is>
          <t>CEO</t>
        </is>
      </c>
      <c r="V38" s="10" t="inlineStr">
        <is>
          <t>not assessed</t>
        </is>
      </c>
    </row>
    <row r="39">
      <c r="A39" s="10" t="inlineStr">
        <is>
          <t>S102</t>
        </is>
      </c>
      <c r="B39" s="11" t="inlineStr">
        <is>
          <t>Lalux</t>
        </is>
      </c>
      <c r="C39" s="10" t="inlineStr">
        <is>
          <t>Insurance (Luxembourg)</t>
        </is>
      </c>
      <c r="D39" s="10" t="inlineStr">
        <is>
          <t>LU</t>
        </is>
      </c>
      <c r="E39" s="10" t="inlineStr">
        <is>
          <t>C</t>
        </is>
      </c>
      <c r="F39" s="10" t="inlineStr">
        <is>
          <t>L</t>
        </is>
      </c>
      <c r="G39" s="10" t="n"/>
      <c r="H39" s="10" t="inlineStr">
        <is>
          <t>Large or generic; no proof of spend on our audience</t>
        </is>
      </c>
      <c r="I39" s="10" t="n"/>
      <c r="J39" s="10" t="n"/>
      <c r="K39" s="10" t="inlineStr">
        <is>
          <t>Marketing lead, retail</t>
        </is>
      </c>
      <c r="L39" s="10" t="inlineStr">
        <is>
          <t>LinkedIn (named role); general partnerships email as backup</t>
        </is>
      </c>
      <c r="M39" s="10" t="inlineStr">
        <is>
          <t>Silver</t>
        </is>
      </c>
      <c r="N39" s="14">
        <f>INDEX(Settings!$B$4:$B$15,MATCH(M39,Settings!$A$4:$A$15,0))</f>
        <v/>
      </c>
      <c r="O39" s="15">
        <f>IF(E39="A",IF(I39&gt;=2022,Settings!$B$18,Settings!$B$19),IF(E39="B",Settings!$B$20,Settings!$B$21))+IF(F39="S",Settings!$B$22,0)</f>
        <v/>
      </c>
      <c r="P39" s="14">
        <f>N39*O39</f>
        <v/>
      </c>
      <c r="Q39" s="16">
        <f>P39*INDEX(Settings!$B$25:$B$27,MATCH(F39,Settings!$A$25:$A$27,0))</f>
        <v/>
      </c>
      <c r="R39" s="10" t="inlineStr">
        <is>
          <t>Parked</t>
        </is>
      </c>
      <c r="S39" s="10" t="inlineStr">
        <is>
          <t>Revisit when 1,000 subscribers or a warm intro exists</t>
        </is>
      </c>
      <c r="T39" s="10" t="inlineStr">
        <is>
          <t>2026-12-01</t>
        </is>
      </c>
      <c r="U39" s="10" t="inlineStr">
        <is>
          <t>CEO</t>
        </is>
      </c>
      <c r="V39" s="10" t="inlineStr">
        <is>
          <t>not assessed</t>
        </is>
      </c>
    </row>
    <row r="40">
      <c r="A40" s="10" t="inlineStr">
        <is>
          <t>S103</t>
        </is>
      </c>
      <c r="B40" s="11" t="inlineStr">
        <is>
          <t>Leroy Merlin Portugal</t>
        </is>
      </c>
      <c r="C40" s="10" t="inlineStr">
        <is>
          <t>DIY / renovation</t>
        </is>
      </c>
      <c r="D40" s="10" t="inlineStr">
        <is>
          <t>LU, FR, CH, BR</t>
        </is>
      </c>
      <c r="E40" s="10" t="inlineStr">
        <is>
          <t>C</t>
        </is>
      </c>
      <c r="F40" s="10" t="inlineStr">
        <is>
          <t>L</t>
        </is>
      </c>
      <c r="G40" s="10" t="n"/>
      <c r="H40" s="10" t="inlineStr">
        <is>
          <t>Large or generic; no proof of spend on our audience</t>
        </is>
      </c>
      <c r="I40" s="10" t="n"/>
      <c r="J40" s="10" t="n"/>
      <c r="K40" s="10" t="inlineStr">
        <is>
          <t>Owner or marketing lead</t>
        </is>
      </c>
      <c r="L40" s="10" t="inlineStr">
        <is>
          <t>LinkedIn (named role); general partnerships email as backup</t>
        </is>
      </c>
      <c r="M40" s="10" t="inlineStr">
        <is>
          <t>Silver</t>
        </is>
      </c>
      <c r="N40" s="14">
        <f>INDEX(Settings!$B$4:$B$15,MATCH(M40,Settings!$A$4:$A$15,0))</f>
        <v/>
      </c>
      <c r="O40" s="15">
        <f>IF(E40="A",IF(I40&gt;=2022,Settings!$B$18,Settings!$B$19),IF(E40="B",Settings!$B$20,Settings!$B$21))+IF(F40="S",Settings!$B$22,0)</f>
        <v/>
      </c>
      <c r="P40" s="14">
        <f>N40*O40</f>
        <v/>
      </c>
      <c r="Q40" s="16">
        <f>P40*INDEX(Settings!$B$25:$B$27,MATCH(F40,Settings!$A$25:$A$27,0))</f>
        <v/>
      </c>
      <c r="R40" s="10" t="inlineStr">
        <is>
          <t>Parked</t>
        </is>
      </c>
      <c r="S40" s="10" t="inlineStr">
        <is>
          <t>Revisit when 1,000 subscribers or a warm intro exists</t>
        </is>
      </c>
      <c r="T40" s="10" t="inlineStr">
        <is>
          <t>2026-12-01</t>
        </is>
      </c>
      <c r="U40" s="10" t="inlineStr">
        <is>
          <t>CEO</t>
        </is>
      </c>
      <c r="V40" s="10" t="inlineStr">
        <is>
          <t>not assessed</t>
        </is>
      </c>
    </row>
    <row r="41">
      <c r="A41" s="10" t="inlineStr">
        <is>
          <t>S104</t>
        </is>
      </c>
      <c r="B41" s="11" t="inlineStr">
        <is>
          <t>Lexidy</t>
        </is>
      </c>
      <c r="C41" s="10" t="inlineStr">
        <is>
          <t>Law firm</t>
        </is>
      </c>
      <c r="D41" s="10" t="inlineStr">
        <is>
          <t>LU, FR, CH, BR</t>
        </is>
      </c>
      <c r="E41" s="10" t="inlineStr">
        <is>
          <t>C</t>
        </is>
      </c>
      <c r="F41" s="10" t="inlineStr">
        <is>
          <t>L</t>
        </is>
      </c>
      <c r="G41" s="10" t="n"/>
      <c r="H41" s="10" t="inlineStr">
        <is>
          <t>Large or generic; no proof of spend on our audience</t>
        </is>
      </c>
      <c r="I41" s="10" t="n"/>
      <c r="J41" s="10" t="n"/>
      <c r="K41" s="10" t="inlineStr">
        <is>
          <t>Managing partner or business development</t>
        </is>
      </c>
      <c r="L41" s="10" t="inlineStr">
        <is>
          <t>LinkedIn (named role); general partnerships email as backup</t>
        </is>
      </c>
      <c r="M41" s="10" t="inlineStr">
        <is>
          <t>Silver</t>
        </is>
      </c>
      <c r="N41" s="14">
        <f>INDEX(Settings!$B$4:$B$15,MATCH(M41,Settings!$A$4:$A$15,0))</f>
        <v/>
      </c>
      <c r="O41" s="15">
        <f>IF(E41="A",IF(I41&gt;=2022,Settings!$B$18,Settings!$B$19),IF(E41="B",Settings!$B$20,Settings!$B$21))+IF(F41="S",Settings!$B$22,0)</f>
        <v/>
      </c>
      <c r="P41" s="14">
        <f>N41*O41</f>
        <v/>
      </c>
      <c r="Q41" s="16">
        <f>P41*INDEX(Settings!$B$25:$B$27,MATCH(F41,Settings!$A$25:$A$27,0))</f>
        <v/>
      </c>
      <c r="R41" s="10" t="inlineStr">
        <is>
          <t>Parked</t>
        </is>
      </c>
      <c r="S41" s="10" t="inlineStr">
        <is>
          <t>Revisit when 1,000 subscribers or a warm intro exists</t>
        </is>
      </c>
      <c r="T41" s="10" t="inlineStr">
        <is>
          <t>2026-12-01</t>
        </is>
      </c>
      <c r="U41" s="10" t="inlineStr">
        <is>
          <t>CEO</t>
        </is>
      </c>
      <c r="V41" s="10" t="inlineStr">
        <is>
          <t>not assessed</t>
        </is>
      </c>
    </row>
    <row r="42">
      <c r="A42" s="10" t="inlineStr">
        <is>
          <t>S105</t>
        </is>
      </c>
      <c r="B42" s="11" t="inlineStr">
        <is>
          <t>MEO</t>
        </is>
      </c>
      <c r="C42" s="10" t="inlineStr">
        <is>
          <t>Telecom</t>
        </is>
      </c>
      <c r="D42" s="10" t="inlineStr">
        <is>
          <t>LU, FR, CH, BR</t>
        </is>
      </c>
      <c r="E42" s="10" t="inlineStr">
        <is>
          <t>C</t>
        </is>
      </c>
      <c r="F42" s="10" t="inlineStr">
        <is>
          <t>L</t>
        </is>
      </c>
      <c r="G42" s="10" t="n"/>
      <c r="H42" s="10" t="inlineStr">
        <is>
          <t>Large or generic; no proof of spend on our audience</t>
        </is>
      </c>
      <c r="I42" s="10" t="n"/>
      <c r="J42" s="10" t="n"/>
      <c r="K42" s="10" t="inlineStr">
        <is>
          <t>Owner or marketing lead</t>
        </is>
      </c>
      <c r="L42" s="10" t="inlineStr">
        <is>
          <t>LinkedIn (named role); general partnerships email as backup</t>
        </is>
      </c>
      <c r="M42" s="10" t="inlineStr">
        <is>
          <t>Silver</t>
        </is>
      </c>
      <c r="N42" s="14">
        <f>INDEX(Settings!$B$4:$B$15,MATCH(M42,Settings!$A$4:$A$15,0))</f>
        <v/>
      </c>
      <c r="O42" s="15">
        <f>IF(E42="A",IF(I42&gt;=2022,Settings!$B$18,Settings!$B$19),IF(E42="B",Settings!$B$20,Settings!$B$21))+IF(F42="S",Settings!$B$22,0)</f>
        <v/>
      </c>
      <c r="P42" s="14">
        <f>N42*O42</f>
        <v/>
      </c>
      <c r="Q42" s="16">
        <f>P42*INDEX(Settings!$B$25:$B$27,MATCH(F42,Settings!$A$25:$A$27,0))</f>
        <v/>
      </c>
      <c r="R42" s="10" t="inlineStr">
        <is>
          <t>Parked</t>
        </is>
      </c>
      <c r="S42" s="10" t="inlineStr">
        <is>
          <t>Revisit when 1,000 subscribers or a warm intro exists</t>
        </is>
      </c>
      <c r="T42" s="10" t="inlineStr">
        <is>
          <t>2026-12-01</t>
        </is>
      </c>
      <c r="U42" s="10" t="inlineStr">
        <is>
          <t>CEO</t>
        </is>
      </c>
      <c r="V42" s="10" t="inlineStr">
        <is>
          <t>not assessed</t>
        </is>
      </c>
    </row>
    <row r="43">
      <c r="A43" s="10" t="inlineStr">
        <is>
          <t>S149</t>
        </is>
      </c>
      <c r="B43" s="11" t="inlineStr">
        <is>
          <t>MGEN</t>
        </is>
      </c>
      <c r="C43" s="10" t="inlineStr">
        <is>
          <t>Insurance</t>
        </is>
      </c>
      <c r="D43" s="10" t="inlineStr">
        <is>
          <t>LU, FR, CH, BR, US, IL</t>
        </is>
      </c>
      <c r="E43" s="10" t="inlineStr">
        <is>
          <t>C</t>
        </is>
      </c>
      <c r="F43" s="10" t="inlineStr">
        <is>
          <t>L</t>
        </is>
      </c>
      <c r="G43" s="13" t="inlineStr">
        <is>
          <t>https://www.doutorfinancas.pt/seguro-vida-geral/</t>
        </is>
      </c>
      <c r="H43" s="10" t="inlineStr">
        <is>
          <t>Insurer listed as a partner by Doutor Finanças' insurance intermediary (Doutor Finanças Protege) (prompt 13); no proof of spend on our audience</t>
        </is>
      </c>
      <c r="I43" s="10" t="n">
        <v>2026</v>
      </c>
      <c r="J43" s="10" t="inlineStr">
        <is>
          <t>Fetched</t>
        </is>
      </c>
      <c r="K43" s="10" t="inlineStr">
        <is>
          <t>Marketing lead, intermediary / partnerships</t>
        </is>
      </c>
      <c r="L43" s="10" t="inlineStr">
        <is>
          <t>LinkedIn (named role); general partnerships email as backup</t>
        </is>
      </c>
      <c r="M43" s="10" t="inlineStr">
        <is>
          <t>Silver</t>
        </is>
      </c>
      <c r="N43" s="14">
        <f>INDEX(Settings!$B$4:$B$15,MATCH(M43,Settings!$A$4:$A$15,0))</f>
        <v/>
      </c>
      <c r="O43" s="15">
        <f>IF(E43="A",IF(I43&gt;=2022,Settings!$B$18,Settings!$B$19),IF(E43="B",Settings!$B$20,Settings!$B$21))+IF(F43="S",Settings!$B$22,0)</f>
        <v/>
      </c>
      <c r="P43" s="14">
        <f>N43*O43</f>
        <v/>
      </c>
      <c r="Q43" s="16">
        <f>P43*INDEX(Settings!$B$25:$B$27,MATCH(F43,Settings!$A$25:$A$27,0))</f>
        <v/>
      </c>
      <c r="R43" s="10" t="inlineStr">
        <is>
          <t>Parked</t>
        </is>
      </c>
      <c r="S43" s="10" t="inlineStr">
        <is>
          <t>Revisit when 1,000 subscribers or a warm intro exists</t>
        </is>
      </c>
      <c r="T43" s="10" t="inlineStr">
        <is>
          <t>2026-12-01</t>
        </is>
      </c>
      <c r="U43" s="10" t="inlineStr">
        <is>
          <t>CEO</t>
        </is>
      </c>
      <c r="V43" s="10" t="inlineStr">
        <is>
          <t>not assessed</t>
        </is>
      </c>
    </row>
    <row r="44">
      <c r="A44" s="10" t="inlineStr">
        <is>
          <t>S134</t>
        </is>
      </c>
      <c r="B44" s="11" t="inlineStr">
        <is>
          <t>Mapfre</t>
        </is>
      </c>
      <c r="C44" s="10" t="inlineStr">
        <is>
          <t>Insurance</t>
        </is>
      </c>
      <c r="D44" s="10" t="inlineStr">
        <is>
          <t>LU, FR, CH, BR, US, IL</t>
        </is>
      </c>
      <c r="E44" s="10" t="inlineStr">
        <is>
          <t>C</t>
        </is>
      </c>
      <c r="F44" s="10" t="inlineStr">
        <is>
          <t>L</t>
        </is>
      </c>
      <c r="G44" s="13" t="inlineStr">
        <is>
          <t>https://www.doutorfinancas.pt/seguro-vida-geral/</t>
        </is>
      </c>
      <c r="H44" s="10" t="inlineStr">
        <is>
          <t>Insurer listed as a partner by Doutor Finanças' insurance intermediary (Doutor Finanças Protege) (prompt 13); no proof of spend on our audience</t>
        </is>
      </c>
      <c r="I44" s="10" t="n">
        <v>2026</v>
      </c>
      <c r="J44" s="10" t="inlineStr">
        <is>
          <t>Fetched</t>
        </is>
      </c>
      <c r="K44" s="10" t="inlineStr">
        <is>
          <t>Marketing lead, intermediary / partnerships</t>
        </is>
      </c>
      <c r="L44" s="10" t="inlineStr">
        <is>
          <t>LinkedIn (named role); general partnerships email as backup</t>
        </is>
      </c>
      <c r="M44" s="10" t="inlineStr">
        <is>
          <t>Silver</t>
        </is>
      </c>
      <c r="N44" s="14">
        <f>INDEX(Settings!$B$4:$B$15,MATCH(M44,Settings!$A$4:$A$15,0))</f>
        <v/>
      </c>
      <c r="O44" s="15">
        <f>IF(E44="A",IF(I44&gt;=2022,Settings!$B$18,Settings!$B$19),IF(E44="B",Settings!$B$20,Settings!$B$21))+IF(F44="S",Settings!$B$22,0)</f>
        <v/>
      </c>
      <c r="P44" s="14">
        <f>N44*O44</f>
        <v/>
      </c>
      <c r="Q44" s="16">
        <f>P44*INDEX(Settings!$B$25:$B$27,MATCH(F44,Settings!$A$25:$A$27,0))</f>
        <v/>
      </c>
      <c r="R44" s="10" t="inlineStr">
        <is>
          <t>Parked</t>
        </is>
      </c>
      <c r="S44" s="10" t="inlineStr">
        <is>
          <t>Revisit when 1,000 subscribers or a warm intro exists</t>
        </is>
      </c>
      <c r="T44" s="10" t="inlineStr">
        <is>
          <t>2026-12-01</t>
        </is>
      </c>
      <c r="U44" s="10" t="inlineStr">
        <is>
          <t>CEO</t>
        </is>
      </c>
      <c r="V44" s="10" t="inlineStr">
        <is>
          <t>not assessed</t>
        </is>
      </c>
    </row>
    <row r="45">
      <c r="A45" s="10" t="inlineStr">
        <is>
          <t>S106</t>
        </is>
      </c>
      <c r="B45" s="11" t="inlineStr">
        <is>
          <t>Martins Castro</t>
        </is>
      </c>
      <c r="C45" s="10" t="inlineStr">
        <is>
          <t>Law firm</t>
        </is>
      </c>
      <c r="D45" s="10" t="inlineStr">
        <is>
          <t>LU, FR, CH, BR</t>
        </is>
      </c>
      <c r="E45" s="10" t="inlineStr">
        <is>
          <t>C</t>
        </is>
      </c>
      <c r="F45" s="10" t="inlineStr">
        <is>
          <t>L</t>
        </is>
      </c>
      <c r="G45" s="10" t="n"/>
      <c r="H45" s="10" t="inlineStr">
        <is>
          <t>Large or generic; no proof of spend on our audience</t>
        </is>
      </c>
      <c r="I45" s="10" t="n"/>
      <c r="J45" s="10" t="n"/>
      <c r="K45" s="10" t="inlineStr">
        <is>
          <t>Managing partner or business development</t>
        </is>
      </c>
      <c r="L45" s="10" t="inlineStr">
        <is>
          <t>LinkedIn (named role); general partnerships email as backup</t>
        </is>
      </c>
      <c r="M45" s="10" t="inlineStr">
        <is>
          <t>Silver</t>
        </is>
      </c>
      <c r="N45" s="14">
        <f>INDEX(Settings!$B$4:$B$15,MATCH(M45,Settings!$A$4:$A$15,0))</f>
        <v/>
      </c>
      <c r="O45" s="15">
        <f>IF(E45="A",IF(I45&gt;=2022,Settings!$B$18,Settings!$B$19),IF(E45="B",Settings!$B$20,Settings!$B$21))+IF(F45="S",Settings!$B$22,0)</f>
        <v/>
      </c>
      <c r="P45" s="14">
        <f>N45*O45</f>
        <v/>
      </c>
      <c r="Q45" s="16">
        <f>P45*INDEX(Settings!$B$25:$B$27,MATCH(F45,Settings!$A$25:$A$27,0))</f>
        <v/>
      </c>
      <c r="R45" s="10" t="inlineStr">
        <is>
          <t>Parked</t>
        </is>
      </c>
      <c r="S45" s="10" t="inlineStr">
        <is>
          <t>Revisit when 1,000 subscribers or a warm intro exists</t>
        </is>
      </c>
      <c r="T45" s="10" t="inlineStr">
        <is>
          <t>2026-12-01</t>
        </is>
      </c>
      <c r="U45" s="10" t="inlineStr">
        <is>
          <t>CEO</t>
        </is>
      </c>
      <c r="V45" s="10" t="inlineStr">
        <is>
          <t>not assessed</t>
        </is>
      </c>
    </row>
    <row r="46">
      <c r="A46" s="10" t="inlineStr">
        <is>
          <t>S135</t>
        </is>
      </c>
      <c r="B46" s="11" t="inlineStr">
        <is>
          <t>MetLife</t>
        </is>
      </c>
      <c r="C46" s="10" t="inlineStr">
        <is>
          <t>Insurance</t>
        </is>
      </c>
      <c r="D46" s="10" t="inlineStr">
        <is>
          <t>LU, FR, CH, BR, US, IL</t>
        </is>
      </c>
      <c r="E46" s="10" t="inlineStr">
        <is>
          <t>C</t>
        </is>
      </c>
      <c r="F46" s="10" t="inlineStr">
        <is>
          <t>L</t>
        </is>
      </c>
      <c r="G46" s="13" t="inlineStr">
        <is>
          <t>https://www.doutorfinancas.pt/seguro-vida-geral/</t>
        </is>
      </c>
      <c r="H46" s="10" t="inlineStr">
        <is>
          <t>Insurer listed as a partner by Doutor Finanças' insurance intermediary (Doutor Finanças Protege) (prompt 13); no proof of spend on our audience</t>
        </is>
      </c>
      <c r="I46" s="10" t="n">
        <v>2026</v>
      </c>
      <c r="J46" s="10" t="inlineStr">
        <is>
          <t>Fetched</t>
        </is>
      </c>
      <c r="K46" s="10" t="inlineStr">
        <is>
          <t>Marketing lead, intermediary / partnerships</t>
        </is>
      </c>
      <c r="L46" s="10" t="inlineStr">
        <is>
          <t>LinkedIn (named role); general partnerships email as backup</t>
        </is>
      </c>
      <c r="M46" s="10" t="inlineStr">
        <is>
          <t>Silver</t>
        </is>
      </c>
      <c r="N46" s="14">
        <f>INDEX(Settings!$B$4:$B$15,MATCH(M46,Settings!$A$4:$A$15,0))</f>
        <v/>
      </c>
      <c r="O46" s="15">
        <f>IF(E46="A",IF(I46&gt;=2022,Settings!$B$18,Settings!$B$19),IF(E46="B",Settings!$B$20,Settings!$B$21))+IF(F46="S",Settings!$B$22,0)</f>
        <v/>
      </c>
      <c r="P46" s="14">
        <f>N46*O46</f>
        <v/>
      </c>
      <c r="Q46" s="16">
        <f>P46*INDEX(Settings!$B$25:$B$27,MATCH(F46,Settings!$A$25:$A$27,0))</f>
        <v/>
      </c>
      <c r="R46" s="10" t="inlineStr">
        <is>
          <t>Parked</t>
        </is>
      </c>
      <c r="S46" s="10" t="inlineStr">
        <is>
          <t>Revisit when 1,000 subscribers or a warm intro exists</t>
        </is>
      </c>
      <c r="T46" s="10" t="inlineStr">
        <is>
          <t>2026-12-01</t>
        </is>
      </c>
      <c r="U46" s="10" t="inlineStr">
        <is>
          <t>CEO</t>
        </is>
      </c>
      <c r="V46" s="10" t="inlineStr">
        <is>
          <t>not assessed</t>
        </is>
      </c>
    </row>
    <row r="47">
      <c r="A47" s="10" t="inlineStr">
        <is>
          <t>S155</t>
        </is>
      </c>
      <c r="B47" s="11" t="inlineStr">
        <is>
          <t>Mondego Capital Partners</t>
        </is>
      </c>
      <c r="C47" s="10" t="inlineStr">
        <is>
          <t>Developer / investor</t>
        </is>
      </c>
      <c r="D47" s="10" t="inlineStr">
        <is>
          <t>IL, US</t>
        </is>
      </c>
      <c r="E47" s="10" t="inlineStr">
        <is>
          <t>C</t>
        </is>
      </c>
      <c r="F47" s="10" t="inlineStr">
        <is>
          <t>S</t>
        </is>
      </c>
      <c r="G47" s="13" t="inlineStr">
        <is>
          <t>https://www.essential-business.pt/?p=11819</t>
        </is>
      </c>
      <c r="H47" s="10" t="inlineStr">
        <is>
          <t>Porto-based; 45 M€ in luxury residential buildings in Lisbon (Chiado, Baixa, Marquês de Pombal), Jan 2021. Israeli link rests on a GRI Institute profile only; target buyers not stated</t>
        </is>
      </c>
      <c r="I47" s="10" t="n">
        <v>2021</v>
      </c>
      <c r="J47" s="10" t="inlineStr">
        <is>
          <t>Fetched</t>
        </is>
      </c>
      <c r="K47" s="10" t="inlineStr">
        <is>
          <t>Sales or marketing director</t>
        </is>
      </c>
      <c r="L47" s="10" t="inlineStr">
        <is>
          <t>Phone or email from company website, then LinkedIn</t>
        </is>
      </c>
      <c r="M47" s="10" t="inlineStr">
        <is>
          <t>Campaign</t>
        </is>
      </c>
      <c r="N47" s="14">
        <f>INDEX(Settings!$B$4:$B$15,MATCH(M47,Settings!$A$4:$A$15,0))</f>
        <v/>
      </c>
      <c r="O47" s="15">
        <f>IF(E47="A",IF(I47&gt;=2022,Settings!$B$18,Settings!$B$19),IF(E47="B",Settings!$B$20,Settings!$B$21))+IF(F47="S",Settings!$B$22,0)</f>
        <v/>
      </c>
      <c r="P47" s="14">
        <f>N47*O47</f>
        <v/>
      </c>
      <c r="Q47" s="16">
        <f>P47*INDEX(Settings!$B$25:$B$27,MATCH(F47,Settings!$A$25:$A$27,0))</f>
        <v/>
      </c>
      <c r="R47" s="10" t="inlineStr">
        <is>
          <t>Parked</t>
        </is>
      </c>
      <c r="S47" s="10" t="inlineStr">
        <is>
          <t>Revisit when 1,000 subscribers or a warm intro exists</t>
        </is>
      </c>
      <c r="T47" s="10" t="inlineStr">
        <is>
          <t>2026-12-01</t>
        </is>
      </c>
      <c r="U47" s="10" t="inlineStr">
        <is>
          <t>CEO</t>
        </is>
      </c>
      <c r="V47" s="10" t="inlineStr">
        <is>
          <t>Israel (to confirm)</t>
        </is>
      </c>
    </row>
    <row r="48">
      <c r="A48" s="10" t="inlineStr">
        <is>
          <t>S107</t>
        </is>
      </c>
      <c r="B48" s="11" t="inlineStr">
        <is>
          <t>Moneycorp</t>
        </is>
      </c>
      <c r="C48" s="10" t="inlineStr">
        <is>
          <t>FX</t>
        </is>
      </c>
      <c r="D48" s="10" t="inlineStr">
        <is>
          <t>LU, FR, CH, BR</t>
        </is>
      </c>
      <c r="E48" s="10" t="inlineStr">
        <is>
          <t>C</t>
        </is>
      </c>
      <c r="F48" s="10" t="inlineStr">
        <is>
          <t>L</t>
        </is>
      </c>
      <c r="G48" s="10" t="n"/>
      <c r="H48" s="10" t="inlineStr">
        <is>
          <t>Large or generic; no proof of spend on our audience</t>
        </is>
      </c>
      <c r="I48" s="10" t="n"/>
      <c r="J48" s="10" t="n"/>
      <c r="K48" s="10" t="inlineStr">
        <is>
          <t>Partnerships / affiliates manager</t>
        </is>
      </c>
      <c r="L48" s="10" t="inlineStr">
        <is>
          <t>LinkedIn (named role); general partnerships email as backup</t>
        </is>
      </c>
      <c r="M48" s="10" t="inlineStr">
        <is>
          <t>Silver</t>
        </is>
      </c>
      <c r="N48" s="14">
        <f>INDEX(Settings!$B$4:$B$15,MATCH(M48,Settings!$A$4:$A$15,0))</f>
        <v/>
      </c>
      <c r="O48" s="15">
        <f>IF(E48="A",IF(I48&gt;=2022,Settings!$B$18,Settings!$B$19),IF(E48="B",Settings!$B$20,Settings!$B$21))+IF(F48="S",Settings!$B$22,0)</f>
        <v/>
      </c>
      <c r="P48" s="14">
        <f>N48*O48</f>
        <v/>
      </c>
      <c r="Q48" s="16">
        <f>P48*INDEX(Settings!$B$25:$B$27,MATCH(F48,Settings!$A$25:$A$27,0))</f>
        <v/>
      </c>
      <c r="R48" s="10" t="inlineStr">
        <is>
          <t>Parked</t>
        </is>
      </c>
      <c r="S48" s="10" t="inlineStr">
        <is>
          <t>Revisit when 1,000 subscribers or a warm intro exists</t>
        </is>
      </c>
      <c r="T48" s="10" t="inlineStr">
        <is>
          <t>2026-12-01</t>
        </is>
      </c>
      <c r="U48" s="10" t="inlineStr">
        <is>
          <t>CEO</t>
        </is>
      </c>
      <c r="V48" s="10" t="inlineStr">
        <is>
          <t>not assessed</t>
        </is>
      </c>
    </row>
    <row r="49">
      <c r="A49" s="10" t="inlineStr">
        <is>
          <t>S108</t>
        </is>
      </c>
      <c r="B49" s="11" t="inlineStr">
        <is>
          <t>NOS</t>
        </is>
      </c>
      <c r="C49" s="10" t="inlineStr">
        <is>
          <t>Telecom</t>
        </is>
      </c>
      <c r="D49" s="10" t="inlineStr">
        <is>
          <t>LU, FR, CH, BR</t>
        </is>
      </c>
      <c r="E49" s="10" t="inlineStr">
        <is>
          <t>C</t>
        </is>
      </c>
      <c r="F49" s="10" t="inlineStr">
        <is>
          <t>L</t>
        </is>
      </c>
      <c r="G49" s="10" t="n"/>
      <c r="H49" s="10" t="inlineStr">
        <is>
          <t>Large or generic; no proof of spend on our audience</t>
        </is>
      </c>
      <c r="I49" s="10" t="n"/>
      <c r="J49" s="10" t="n"/>
      <c r="K49" s="10" t="inlineStr">
        <is>
          <t>Owner or marketing lead</t>
        </is>
      </c>
      <c r="L49" s="10" t="inlineStr">
        <is>
          <t>LinkedIn (named role); general partnerships email as backup</t>
        </is>
      </c>
      <c r="M49" s="10" t="inlineStr">
        <is>
          <t>Silver</t>
        </is>
      </c>
      <c r="N49" s="14">
        <f>INDEX(Settings!$B$4:$B$15,MATCH(M49,Settings!$A$4:$A$15,0))</f>
        <v/>
      </c>
      <c r="O49" s="15">
        <f>IF(E49="A",IF(I49&gt;=2022,Settings!$B$18,Settings!$B$19),IF(E49="B",Settings!$B$20,Settings!$B$21))+IF(F49="S",Settings!$B$22,0)</f>
        <v/>
      </c>
      <c r="P49" s="14">
        <f>N49*O49</f>
        <v/>
      </c>
      <c r="Q49" s="16">
        <f>P49*INDEX(Settings!$B$25:$B$27,MATCH(F49,Settings!$A$25:$A$27,0))</f>
        <v/>
      </c>
      <c r="R49" s="10" t="inlineStr">
        <is>
          <t>Parked</t>
        </is>
      </c>
      <c r="S49" s="10" t="inlineStr">
        <is>
          <t>Revisit when 1,000 subscribers or a warm intro exists</t>
        </is>
      </c>
      <c r="T49" s="10" t="inlineStr">
        <is>
          <t>2026-12-01</t>
        </is>
      </c>
      <c r="U49" s="10" t="inlineStr">
        <is>
          <t>CEO</t>
        </is>
      </c>
      <c r="V49" s="10" t="inlineStr">
        <is>
          <t>not assessed</t>
        </is>
      </c>
    </row>
    <row r="50">
      <c r="A50" s="10" t="inlineStr">
        <is>
          <t>S109</t>
        </is>
      </c>
      <c r="B50" s="11" t="inlineStr">
        <is>
          <t>Nomad</t>
        </is>
      </c>
      <c r="C50" s="10" t="inlineStr">
        <is>
          <t>Fintech (Brazil)</t>
        </is>
      </c>
      <c r="D50" s="10" t="inlineStr">
        <is>
          <t>BR</t>
        </is>
      </c>
      <c r="E50" s="10" t="inlineStr">
        <is>
          <t>C</t>
        </is>
      </c>
      <c r="F50" s="10" t="inlineStr">
        <is>
          <t>L</t>
        </is>
      </c>
      <c r="G50" s="10" t="n"/>
      <c r="H50" s="10" t="inlineStr">
        <is>
          <t>Large or generic; no proof of spend on our audience</t>
        </is>
      </c>
      <c r="I50" s="10" t="n"/>
      <c r="J50" s="10" t="n"/>
      <c r="K50" s="10" t="inlineStr">
        <is>
          <t>Partnerships / affiliates manager</t>
        </is>
      </c>
      <c r="L50" s="10" t="inlineStr">
        <is>
          <t>LinkedIn (named role); general partnerships email as backup</t>
        </is>
      </c>
      <c r="M50" s="10" t="inlineStr">
        <is>
          <t>Silver</t>
        </is>
      </c>
      <c r="N50" s="14">
        <f>INDEX(Settings!$B$4:$B$15,MATCH(M50,Settings!$A$4:$A$15,0))</f>
        <v/>
      </c>
      <c r="O50" s="15">
        <f>IF(E50="A",IF(I50&gt;=2022,Settings!$B$18,Settings!$B$19),IF(E50="B",Settings!$B$20,Settings!$B$21))+IF(F50="S",Settings!$B$22,0)</f>
        <v/>
      </c>
      <c r="P50" s="14">
        <f>N50*O50</f>
        <v/>
      </c>
      <c r="Q50" s="16">
        <f>P50*INDEX(Settings!$B$25:$B$27,MATCH(F50,Settings!$A$25:$A$27,0))</f>
        <v/>
      </c>
      <c r="R50" s="10" t="inlineStr">
        <is>
          <t>Parked</t>
        </is>
      </c>
      <c r="S50" s="10" t="inlineStr">
        <is>
          <t>Revisit when 1,000 subscribers or a warm intro exists</t>
        </is>
      </c>
      <c r="T50" s="10" t="inlineStr">
        <is>
          <t>2026-12-01</t>
        </is>
      </c>
      <c r="U50" s="10" t="inlineStr">
        <is>
          <t>CEO</t>
        </is>
      </c>
      <c r="V50" s="10" t="inlineStr">
        <is>
          <t>not assessed</t>
        </is>
      </c>
    </row>
    <row r="51">
      <c r="A51" s="10" t="inlineStr">
        <is>
          <t>S110</t>
        </is>
      </c>
      <c r="B51" s="11" t="inlineStr">
        <is>
          <t>Pestana Residences</t>
        </is>
      </c>
      <c r="C51" s="10" t="inlineStr">
        <is>
          <t>Developer / hospitality</t>
        </is>
      </c>
      <c r="D51" s="10" t="inlineStr">
        <is>
          <t>LU, FR, CH, BR</t>
        </is>
      </c>
      <c r="E51" s="10" t="inlineStr">
        <is>
          <t>C</t>
        </is>
      </c>
      <c r="F51" s="10" t="inlineStr">
        <is>
          <t>L</t>
        </is>
      </c>
      <c r="G51" s="10" t="n"/>
      <c r="H51" s="10" t="inlineStr">
        <is>
          <t>Large or generic; no proof of spend on our audience</t>
        </is>
      </c>
      <c r="I51" s="10" t="n"/>
      <c r="J51" s="10" t="n"/>
      <c r="K51" s="10" t="inlineStr">
        <is>
          <t>Sales or marketing director</t>
        </is>
      </c>
      <c r="L51" s="10" t="inlineStr">
        <is>
          <t>LinkedIn (named role); general partnerships email as backup</t>
        </is>
      </c>
      <c r="M51" s="10" t="inlineStr">
        <is>
          <t>Silver</t>
        </is>
      </c>
      <c r="N51" s="14">
        <f>INDEX(Settings!$B$4:$B$15,MATCH(M51,Settings!$A$4:$A$15,0))</f>
        <v/>
      </c>
      <c r="O51" s="15">
        <f>IF(E51="A",IF(I51&gt;=2022,Settings!$B$18,Settings!$B$19),IF(E51="B",Settings!$B$20,Settings!$B$21))+IF(F51="S",Settings!$B$22,0)</f>
        <v/>
      </c>
      <c r="P51" s="14">
        <f>N51*O51</f>
        <v/>
      </c>
      <c r="Q51" s="16">
        <f>P51*INDEX(Settings!$B$25:$B$27,MATCH(F51,Settings!$A$25:$A$27,0))</f>
        <v/>
      </c>
      <c r="R51" s="10" t="inlineStr">
        <is>
          <t>Parked</t>
        </is>
      </c>
      <c r="S51" s="10" t="inlineStr">
        <is>
          <t>Revisit when 1,000 subscribers or a warm intro exists</t>
        </is>
      </c>
      <c r="T51" s="10" t="inlineStr">
        <is>
          <t>2026-12-01</t>
        </is>
      </c>
      <c r="U51" s="10" t="inlineStr">
        <is>
          <t>CEO</t>
        </is>
      </c>
      <c r="V51" s="10" t="inlineStr">
        <is>
          <t>not assessed</t>
        </is>
      </c>
    </row>
    <row r="52">
      <c r="A52" s="10" t="inlineStr">
        <is>
          <t>S111</t>
        </is>
      </c>
      <c r="B52" s="11" t="inlineStr">
        <is>
          <t>PostFinance</t>
        </is>
      </c>
      <c r="C52" s="10" t="inlineStr">
        <is>
          <t>Bank (Switzerland)</t>
        </is>
      </c>
      <c r="D52" s="10" t="inlineStr">
        <is>
          <t>CH</t>
        </is>
      </c>
      <c r="E52" s="10" t="inlineStr">
        <is>
          <t>C</t>
        </is>
      </c>
      <c r="F52" s="10" t="inlineStr">
        <is>
          <t>L</t>
        </is>
      </c>
      <c r="G52" s="10" t="n"/>
      <c r="H52" s="10" t="inlineStr">
        <is>
          <t>Large or generic; no proof of spend on our audience</t>
        </is>
      </c>
      <c r="I52" s="10" t="n"/>
      <c r="J52" s="10" t="n"/>
      <c r="K52" s="10" t="inlineStr">
        <is>
          <t>Marketing lead, non-resident / emigrant segment</t>
        </is>
      </c>
      <c r="L52" s="10" t="inlineStr">
        <is>
          <t>LinkedIn (named role); general partnerships email as backup</t>
        </is>
      </c>
      <c r="M52" s="10" t="inlineStr">
        <is>
          <t>Gold</t>
        </is>
      </c>
      <c r="N52" s="14">
        <f>INDEX(Settings!$B$4:$B$15,MATCH(M52,Settings!$A$4:$A$15,0))</f>
        <v/>
      </c>
      <c r="O52" s="15">
        <f>IF(E52="A",IF(I52&gt;=2022,Settings!$B$18,Settings!$B$19),IF(E52="B",Settings!$B$20,Settings!$B$21))+IF(F52="S",Settings!$B$22,0)</f>
        <v/>
      </c>
      <c r="P52" s="14">
        <f>N52*O52</f>
        <v/>
      </c>
      <c r="Q52" s="16">
        <f>P52*INDEX(Settings!$B$25:$B$27,MATCH(F52,Settings!$A$25:$A$27,0))</f>
        <v/>
      </c>
      <c r="R52" s="10" t="inlineStr">
        <is>
          <t>Parked</t>
        </is>
      </c>
      <c r="S52" s="10" t="inlineStr">
        <is>
          <t>Revisit when 1,000 subscribers or a warm intro exists</t>
        </is>
      </c>
      <c r="T52" s="10" t="inlineStr">
        <is>
          <t>2026-12-01</t>
        </is>
      </c>
      <c r="U52" s="10" t="inlineStr">
        <is>
          <t>CEO</t>
        </is>
      </c>
      <c r="V52" s="10" t="inlineStr">
        <is>
          <t>not assessed</t>
        </is>
      </c>
    </row>
    <row r="53">
      <c r="A53" s="10" t="inlineStr">
        <is>
          <t>S136</t>
        </is>
      </c>
      <c r="B53" s="11" t="inlineStr">
        <is>
          <t>Prévoir</t>
        </is>
      </c>
      <c r="C53" s="10" t="inlineStr">
        <is>
          <t>Insurance</t>
        </is>
      </c>
      <c r="D53" s="10" t="inlineStr">
        <is>
          <t>LU, FR, CH, BR, US, IL</t>
        </is>
      </c>
      <c r="E53" s="10" t="inlineStr">
        <is>
          <t>C</t>
        </is>
      </c>
      <c r="F53" s="10" t="inlineStr">
        <is>
          <t>L</t>
        </is>
      </c>
      <c r="G53" s="13" t="inlineStr">
        <is>
          <t>https://www.doutorfinancas.pt/seguro-vida-geral/</t>
        </is>
      </c>
      <c r="H53" s="10" t="inlineStr">
        <is>
          <t>Insurer listed as a partner by Doutor Finanças' insurance intermediary (Doutor Finanças Protege) (prompt 13); no proof of spend on our audience</t>
        </is>
      </c>
      <c r="I53" s="10" t="n">
        <v>2026</v>
      </c>
      <c r="J53" s="10" t="inlineStr">
        <is>
          <t>Fetched</t>
        </is>
      </c>
      <c r="K53" s="10" t="inlineStr">
        <is>
          <t>Marketing lead, intermediary / partnerships</t>
        </is>
      </c>
      <c r="L53" s="10" t="inlineStr">
        <is>
          <t>LinkedIn (named role); general partnerships email as backup</t>
        </is>
      </c>
      <c r="M53" s="10" t="inlineStr">
        <is>
          <t>Silver</t>
        </is>
      </c>
      <c r="N53" s="14">
        <f>INDEX(Settings!$B$4:$B$15,MATCH(M53,Settings!$A$4:$A$15,0))</f>
        <v/>
      </c>
      <c r="O53" s="15">
        <f>IF(E53="A",IF(I53&gt;=2022,Settings!$B$18,Settings!$B$19),IF(E53="B",Settings!$B$20,Settings!$B$21))+IF(F53="S",Settings!$B$22,0)</f>
        <v/>
      </c>
      <c r="P53" s="14">
        <f>N53*O53</f>
        <v/>
      </c>
      <c r="Q53" s="16">
        <f>P53*INDEX(Settings!$B$25:$B$27,MATCH(F53,Settings!$A$25:$A$27,0))</f>
        <v/>
      </c>
      <c r="R53" s="10" t="inlineStr">
        <is>
          <t>Parked</t>
        </is>
      </c>
      <c r="S53" s="10" t="inlineStr">
        <is>
          <t>Revisit when 1,000 subscribers or a warm intro exists</t>
        </is>
      </c>
      <c r="T53" s="10" t="inlineStr">
        <is>
          <t>2026-12-01</t>
        </is>
      </c>
      <c r="U53" s="10" t="inlineStr">
        <is>
          <t>CEO</t>
        </is>
      </c>
      <c r="V53" s="10" t="inlineStr">
        <is>
          <t>not assessed</t>
        </is>
      </c>
    </row>
    <row r="54">
      <c r="A54" s="10" t="inlineStr">
        <is>
          <t>S112</t>
        </is>
      </c>
      <c r="B54" s="11" t="inlineStr">
        <is>
          <t>RFF Lawyers</t>
        </is>
      </c>
      <c r="C54" s="10" t="inlineStr">
        <is>
          <t>Law / tax</t>
        </is>
      </c>
      <c r="D54" s="10" t="inlineStr">
        <is>
          <t>LU, FR, CH, BR</t>
        </is>
      </c>
      <c r="E54" s="10" t="inlineStr">
        <is>
          <t>C</t>
        </is>
      </c>
      <c r="F54" s="10" t="inlineStr">
        <is>
          <t>L</t>
        </is>
      </c>
      <c r="G54" s="10" t="n"/>
      <c r="H54" s="10" t="inlineStr">
        <is>
          <t>Large or generic; no proof of spend on our audience</t>
        </is>
      </c>
      <c r="I54" s="10" t="n"/>
      <c r="J54" s="10" t="n"/>
      <c r="K54" s="10" t="inlineStr">
        <is>
          <t>Managing partner or business development</t>
        </is>
      </c>
      <c r="L54" s="10" t="inlineStr">
        <is>
          <t>LinkedIn (named role); general partnerships email as backup</t>
        </is>
      </c>
      <c r="M54" s="10" t="inlineStr">
        <is>
          <t>Silver</t>
        </is>
      </c>
      <c r="N54" s="14">
        <f>INDEX(Settings!$B$4:$B$15,MATCH(M54,Settings!$A$4:$A$15,0))</f>
        <v/>
      </c>
      <c r="O54" s="15">
        <f>IF(E54="A",IF(I54&gt;=2022,Settings!$B$18,Settings!$B$19),IF(E54="B",Settings!$B$20,Settings!$B$21))+IF(F54="S",Settings!$B$22,0)</f>
        <v/>
      </c>
      <c r="P54" s="14">
        <f>N54*O54</f>
        <v/>
      </c>
      <c r="Q54" s="16">
        <f>P54*INDEX(Settings!$B$25:$B$27,MATCH(F54,Settings!$A$25:$A$27,0))</f>
        <v/>
      </c>
      <c r="R54" s="10" t="inlineStr">
        <is>
          <t>Parked</t>
        </is>
      </c>
      <c r="S54" s="10" t="inlineStr">
        <is>
          <t>Revisit when 1,000 subscribers or a warm intro exists</t>
        </is>
      </c>
      <c r="T54" s="10" t="inlineStr">
        <is>
          <t>2026-12-01</t>
        </is>
      </c>
      <c r="U54" s="10" t="inlineStr">
        <is>
          <t>CEO</t>
        </is>
      </c>
      <c r="V54" s="10" t="inlineStr">
        <is>
          <t>not assessed</t>
        </is>
      </c>
    </row>
    <row r="55">
      <c r="A55" s="10" t="inlineStr">
        <is>
          <t>S113</t>
        </is>
      </c>
      <c r="B55" s="11" t="inlineStr">
        <is>
          <t>Raiffeisen Suisse</t>
        </is>
      </c>
      <c r="C55" s="10" t="inlineStr">
        <is>
          <t>Bank (Switzerland)</t>
        </is>
      </c>
      <c r="D55" s="10" t="inlineStr">
        <is>
          <t>CH</t>
        </is>
      </c>
      <c r="E55" s="10" t="inlineStr">
        <is>
          <t>C</t>
        </is>
      </c>
      <c r="F55" s="10" t="inlineStr">
        <is>
          <t>L</t>
        </is>
      </c>
      <c r="G55" s="10" t="n"/>
      <c r="H55" s="10" t="inlineStr">
        <is>
          <t>Large or generic; no proof of spend on our audience</t>
        </is>
      </c>
      <c r="I55" s="10" t="n"/>
      <c r="J55" s="10" t="n"/>
      <c r="K55" s="10" t="inlineStr">
        <is>
          <t>Marketing lead, non-resident / emigrant segment</t>
        </is>
      </c>
      <c r="L55" s="10" t="inlineStr">
        <is>
          <t>LinkedIn (named role); general partnerships email as backup</t>
        </is>
      </c>
      <c r="M55" s="10" t="inlineStr">
        <is>
          <t>Gold</t>
        </is>
      </c>
      <c r="N55" s="14">
        <f>INDEX(Settings!$B$4:$B$15,MATCH(M55,Settings!$A$4:$A$15,0))</f>
        <v/>
      </c>
      <c r="O55" s="15">
        <f>IF(E55="A",IF(I55&gt;=2022,Settings!$B$18,Settings!$B$19),IF(E55="B",Settings!$B$20,Settings!$B$21))+IF(F55="S",Settings!$B$22,0)</f>
        <v/>
      </c>
      <c r="P55" s="14">
        <f>N55*O55</f>
        <v/>
      </c>
      <c r="Q55" s="16">
        <f>P55*INDEX(Settings!$B$25:$B$27,MATCH(F55,Settings!$A$25:$A$27,0))</f>
        <v/>
      </c>
      <c r="R55" s="10" t="inlineStr">
        <is>
          <t>Parked</t>
        </is>
      </c>
      <c r="S55" s="10" t="inlineStr">
        <is>
          <t>Revisit when 1,000 subscribers or a warm intro exists</t>
        </is>
      </c>
      <c r="T55" s="10" t="inlineStr">
        <is>
          <t>2026-12-01</t>
        </is>
      </c>
      <c r="U55" s="10" t="inlineStr">
        <is>
          <t>CEO</t>
        </is>
      </c>
      <c r="V55" s="10" t="inlineStr">
        <is>
          <t>not assessed</t>
        </is>
      </c>
    </row>
    <row r="56">
      <c r="A56" s="10" t="inlineStr">
        <is>
          <t>S137</t>
        </is>
      </c>
      <c r="B56" s="11" t="inlineStr">
        <is>
          <t>Real Vida Seguros</t>
        </is>
      </c>
      <c r="C56" s="10" t="inlineStr">
        <is>
          <t>Insurance</t>
        </is>
      </c>
      <c r="D56" s="10" t="inlineStr">
        <is>
          <t>LU, FR, CH, BR, US, IL</t>
        </is>
      </c>
      <c r="E56" s="10" t="inlineStr">
        <is>
          <t>C</t>
        </is>
      </c>
      <c r="F56" s="10" t="inlineStr">
        <is>
          <t>L</t>
        </is>
      </c>
      <c r="G56" s="13" t="inlineStr">
        <is>
          <t>https://www.doutorfinancas.pt/seguro-vida-geral/</t>
        </is>
      </c>
      <c r="H56" s="10" t="inlineStr">
        <is>
          <t>Insurer listed as a partner by Doutor Finanças' insurance intermediary (Doutor Finanças Protege) (prompt 13); no proof of spend on our audience</t>
        </is>
      </c>
      <c r="I56" s="10" t="n">
        <v>2026</v>
      </c>
      <c r="J56" s="10" t="inlineStr">
        <is>
          <t>Fetched</t>
        </is>
      </c>
      <c r="K56" s="10" t="inlineStr">
        <is>
          <t>Marketing lead, intermediary / partnerships</t>
        </is>
      </c>
      <c r="L56" s="10" t="inlineStr">
        <is>
          <t>LinkedIn (named role); general partnerships email as backup</t>
        </is>
      </c>
      <c r="M56" s="10" t="inlineStr">
        <is>
          <t>Silver</t>
        </is>
      </c>
      <c r="N56" s="14">
        <f>INDEX(Settings!$B$4:$B$15,MATCH(M56,Settings!$A$4:$A$15,0))</f>
        <v/>
      </c>
      <c r="O56" s="15">
        <f>IF(E56="A",IF(I56&gt;=2022,Settings!$B$18,Settings!$B$19),IF(E56="B",Settings!$B$20,Settings!$B$21))+IF(F56="S",Settings!$B$22,0)</f>
        <v/>
      </c>
      <c r="P56" s="14">
        <f>N56*O56</f>
        <v/>
      </c>
      <c r="Q56" s="16">
        <f>P56*INDEX(Settings!$B$25:$B$27,MATCH(F56,Settings!$A$25:$A$27,0))</f>
        <v/>
      </c>
      <c r="R56" s="10" t="inlineStr">
        <is>
          <t>Parked</t>
        </is>
      </c>
      <c r="S56" s="10" t="inlineStr">
        <is>
          <t>Revisit when 1,000 subscribers or a warm intro exists</t>
        </is>
      </c>
      <c r="T56" s="10" t="inlineStr">
        <is>
          <t>2026-12-01</t>
        </is>
      </c>
      <c r="U56" s="10" t="inlineStr">
        <is>
          <t>CEO</t>
        </is>
      </c>
      <c r="V56" s="10" t="inlineStr">
        <is>
          <t>not assessed</t>
        </is>
      </c>
    </row>
    <row r="57">
      <c r="A57" s="10" t="inlineStr">
        <is>
          <t>S114</t>
        </is>
      </c>
      <c r="B57" s="11" t="inlineStr">
        <is>
          <t>Revolut</t>
        </is>
      </c>
      <c r="C57" s="10" t="inlineStr">
        <is>
          <t>Fintech</t>
        </is>
      </c>
      <c r="D57" s="10" t="inlineStr">
        <is>
          <t>LU, FR, CH, BR</t>
        </is>
      </c>
      <c r="E57" s="10" t="inlineStr">
        <is>
          <t>C</t>
        </is>
      </c>
      <c r="F57" s="10" t="inlineStr">
        <is>
          <t>L</t>
        </is>
      </c>
      <c r="G57" s="10" t="n"/>
      <c r="H57" s="10" t="inlineStr">
        <is>
          <t>Large or generic; no proof of spend on our audience</t>
        </is>
      </c>
      <c r="I57" s="10" t="n"/>
      <c r="J57" s="10" t="n"/>
      <c r="K57" s="10" t="inlineStr">
        <is>
          <t>Partnerships / affiliates manager</t>
        </is>
      </c>
      <c r="L57" s="10" t="inlineStr">
        <is>
          <t>LinkedIn (named role); general partnerships email as backup</t>
        </is>
      </c>
      <c r="M57" s="10" t="inlineStr">
        <is>
          <t>Silver</t>
        </is>
      </c>
      <c r="N57" s="14">
        <f>INDEX(Settings!$B$4:$B$15,MATCH(M57,Settings!$A$4:$A$15,0))</f>
        <v/>
      </c>
      <c r="O57" s="15">
        <f>IF(E57="A",IF(I57&gt;=2022,Settings!$B$18,Settings!$B$19),IF(E57="B",Settings!$B$20,Settings!$B$21))+IF(F57="S",Settings!$B$22,0)</f>
        <v/>
      </c>
      <c r="P57" s="14">
        <f>N57*O57</f>
        <v/>
      </c>
      <c r="Q57" s="16">
        <f>P57*INDEX(Settings!$B$25:$B$27,MATCH(F57,Settings!$A$25:$A$27,0))</f>
        <v/>
      </c>
      <c r="R57" s="10" t="inlineStr">
        <is>
          <t>Parked</t>
        </is>
      </c>
      <c r="S57" s="10" t="inlineStr">
        <is>
          <t>Revisit when 1,000 subscribers or a warm intro exists</t>
        </is>
      </c>
      <c r="T57" s="10" t="inlineStr">
        <is>
          <t>2026-12-01</t>
        </is>
      </c>
      <c r="U57" s="10" t="inlineStr">
        <is>
          <t>CEO</t>
        </is>
      </c>
      <c r="V57" s="10" t="inlineStr">
        <is>
          <t>not assessed</t>
        </is>
      </c>
    </row>
    <row r="58">
      <c r="A58" s="10" t="inlineStr">
        <is>
          <t>S115</t>
        </is>
      </c>
      <c r="B58" s="11" t="inlineStr">
        <is>
          <t>SRS Legal</t>
        </is>
      </c>
      <c r="C58" s="10" t="inlineStr">
        <is>
          <t>Law firm</t>
        </is>
      </c>
      <c r="D58" s="10" t="inlineStr">
        <is>
          <t>LU, FR, CH, BR</t>
        </is>
      </c>
      <c r="E58" s="10" t="inlineStr">
        <is>
          <t>C</t>
        </is>
      </c>
      <c r="F58" s="10" t="inlineStr">
        <is>
          <t>L</t>
        </is>
      </c>
      <c r="G58" s="10" t="n"/>
      <c r="H58" s="10" t="inlineStr">
        <is>
          <t>Large or generic; no proof of spend on our audience</t>
        </is>
      </c>
      <c r="I58" s="10" t="n"/>
      <c r="J58" s="10" t="n"/>
      <c r="K58" s="10" t="inlineStr">
        <is>
          <t>Managing partner or business development</t>
        </is>
      </c>
      <c r="L58" s="10" t="inlineStr">
        <is>
          <t>LinkedIn (named role); general partnerships email as backup</t>
        </is>
      </c>
      <c r="M58" s="10" t="inlineStr">
        <is>
          <t>Silver</t>
        </is>
      </c>
      <c r="N58" s="14">
        <f>INDEX(Settings!$B$4:$B$15,MATCH(M58,Settings!$A$4:$A$15,0))</f>
        <v/>
      </c>
      <c r="O58" s="15">
        <f>IF(E58="A",IF(I58&gt;=2022,Settings!$B$18,Settings!$B$19),IF(E58="B",Settings!$B$20,Settings!$B$21))+IF(F58="S",Settings!$B$22,0)</f>
        <v/>
      </c>
      <c r="P58" s="14">
        <f>N58*O58</f>
        <v/>
      </c>
      <c r="Q58" s="16">
        <f>P58*INDEX(Settings!$B$25:$B$27,MATCH(F58,Settings!$A$25:$A$27,0))</f>
        <v/>
      </c>
      <c r="R58" s="10" t="inlineStr">
        <is>
          <t>Parked</t>
        </is>
      </c>
      <c r="S58" s="10" t="inlineStr">
        <is>
          <t>Revisit when 1,000 subscribers or a warm intro exists</t>
        </is>
      </c>
      <c r="T58" s="10" t="inlineStr">
        <is>
          <t>2026-12-01</t>
        </is>
      </c>
      <c r="U58" s="10" t="inlineStr">
        <is>
          <t>CEO</t>
        </is>
      </c>
      <c r="V58" s="10" t="inlineStr">
        <is>
          <t>not assessed</t>
        </is>
      </c>
    </row>
    <row r="59">
      <c r="A59" s="10" t="inlineStr">
        <is>
          <t>S148</t>
        </is>
      </c>
      <c r="B59" s="11" t="inlineStr">
        <is>
          <t>Saúde Prime</t>
        </is>
      </c>
      <c r="C59" s="10" t="inlineStr">
        <is>
          <t>Insurance</t>
        </is>
      </c>
      <c r="D59" s="10" t="inlineStr">
        <is>
          <t>LU, FR, CH, BR, US, IL</t>
        </is>
      </c>
      <c r="E59" s="10" t="inlineStr">
        <is>
          <t>C</t>
        </is>
      </c>
      <c r="F59" s="10" t="inlineStr">
        <is>
          <t>L</t>
        </is>
      </c>
      <c r="G59" s="13" t="inlineStr">
        <is>
          <t>https://www.doutorfinancas.pt/seguro-vida-geral/</t>
        </is>
      </c>
      <c r="H59" s="10" t="inlineStr">
        <is>
          <t>Insurer listed as a partner by Doutor Finanças' insurance intermediary (Doutor Finanças Protege) (prompt 13); no proof of spend on our audience</t>
        </is>
      </c>
      <c r="I59" s="10" t="n">
        <v>2026</v>
      </c>
      <c r="J59" s="10" t="inlineStr">
        <is>
          <t>Fetched</t>
        </is>
      </c>
      <c r="K59" s="10" t="inlineStr">
        <is>
          <t>Marketing lead, intermediary / partnerships</t>
        </is>
      </c>
      <c r="L59" s="10" t="inlineStr">
        <is>
          <t>LinkedIn (named role); general partnerships email as backup</t>
        </is>
      </c>
      <c r="M59" s="10" t="inlineStr">
        <is>
          <t>Silver</t>
        </is>
      </c>
      <c r="N59" s="14">
        <f>INDEX(Settings!$B$4:$B$15,MATCH(M59,Settings!$A$4:$A$15,0))</f>
        <v/>
      </c>
      <c r="O59" s="15">
        <f>IF(E59="A",IF(I59&gt;=2022,Settings!$B$18,Settings!$B$19),IF(E59="B",Settings!$B$20,Settings!$B$21))+IF(F59="S",Settings!$B$22,0)</f>
        <v/>
      </c>
      <c r="P59" s="14">
        <f>N59*O59</f>
        <v/>
      </c>
      <c r="Q59" s="16">
        <f>P59*INDEX(Settings!$B$25:$B$27,MATCH(F59,Settings!$A$25:$A$27,0))</f>
        <v/>
      </c>
      <c r="R59" s="10" t="inlineStr">
        <is>
          <t>Parked</t>
        </is>
      </c>
      <c r="S59" s="10" t="inlineStr">
        <is>
          <t>Revisit when 1,000 subscribers or a warm intro exists</t>
        </is>
      </c>
      <c r="T59" s="10" t="inlineStr">
        <is>
          <t>2026-12-01</t>
        </is>
      </c>
      <c r="U59" s="10" t="inlineStr">
        <is>
          <t>CEO</t>
        </is>
      </c>
      <c r="V59" s="10" t="inlineStr">
        <is>
          <t>not assessed</t>
        </is>
      </c>
    </row>
    <row r="60">
      <c r="A60" s="10" t="inlineStr">
        <is>
          <t>S116</t>
        </is>
      </c>
      <c r="B60" s="11" t="inlineStr">
        <is>
          <t>Spuerkeess</t>
        </is>
      </c>
      <c r="C60" s="10" t="inlineStr">
        <is>
          <t>Bank (Luxembourg)</t>
        </is>
      </c>
      <c r="D60" s="10" t="inlineStr">
        <is>
          <t>LU</t>
        </is>
      </c>
      <c r="E60" s="10" t="inlineStr">
        <is>
          <t>C</t>
        </is>
      </c>
      <c r="F60" s="10" t="inlineStr">
        <is>
          <t>L</t>
        </is>
      </c>
      <c r="G60" s="10" t="n"/>
      <c r="H60" s="10" t="inlineStr">
        <is>
          <t>Large or generic; no proof of spend on our audience</t>
        </is>
      </c>
      <c r="I60" s="10" t="n"/>
      <c r="J60" s="10" t="n"/>
      <c r="K60" s="10" t="inlineStr">
        <is>
          <t>Marketing lead, non-resident / emigrant segment</t>
        </is>
      </c>
      <c r="L60" s="10" t="inlineStr">
        <is>
          <t>LinkedIn (named role); general partnerships email as backup</t>
        </is>
      </c>
      <c r="M60" s="10" t="inlineStr">
        <is>
          <t>Gold</t>
        </is>
      </c>
      <c r="N60" s="14">
        <f>INDEX(Settings!$B$4:$B$15,MATCH(M60,Settings!$A$4:$A$15,0))</f>
        <v/>
      </c>
      <c r="O60" s="15">
        <f>IF(E60="A",IF(I60&gt;=2022,Settings!$B$18,Settings!$B$19),IF(E60="B",Settings!$B$20,Settings!$B$21))+IF(F60="S",Settings!$B$22,0)</f>
        <v/>
      </c>
      <c r="P60" s="14">
        <f>N60*O60</f>
        <v/>
      </c>
      <c r="Q60" s="16">
        <f>P60*INDEX(Settings!$B$25:$B$27,MATCH(F60,Settings!$A$25:$A$27,0))</f>
        <v/>
      </c>
      <c r="R60" s="10" t="inlineStr">
        <is>
          <t>Parked</t>
        </is>
      </c>
      <c r="S60" s="10" t="inlineStr">
        <is>
          <t>Revisit when 1,000 subscribers or a warm intro exists</t>
        </is>
      </c>
      <c r="T60" s="10" t="inlineStr">
        <is>
          <t>2026-12-01</t>
        </is>
      </c>
      <c r="U60" s="10" t="inlineStr">
        <is>
          <t>CEO</t>
        </is>
      </c>
      <c r="V60" s="10" t="inlineStr">
        <is>
          <t>not assessed</t>
        </is>
      </c>
    </row>
    <row r="61">
      <c r="A61" s="10" t="inlineStr">
        <is>
          <t>S117</t>
        </is>
      </c>
      <c r="B61" s="11" t="inlineStr">
        <is>
          <t>Swiss Life</t>
        </is>
      </c>
      <c r="C61" s="10" t="inlineStr">
        <is>
          <t>Pensions (Switzerland)</t>
        </is>
      </c>
      <c r="D61" s="10" t="inlineStr">
        <is>
          <t>CH</t>
        </is>
      </c>
      <c r="E61" s="10" t="inlineStr">
        <is>
          <t>C</t>
        </is>
      </c>
      <c r="F61" s="10" t="inlineStr">
        <is>
          <t>L</t>
        </is>
      </c>
      <c r="G61" s="10" t="n"/>
      <c r="H61" s="10" t="inlineStr">
        <is>
          <t>Large or generic; no proof of spend on our audience</t>
        </is>
      </c>
      <c r="I61" s="10" t="n"/>
      <c r="J61" s="10" t="n"/>
      <c r="K61" s="10" t="inlineStr">
        <is>
          <t>Owner or marketing lead</t>
        </is>
      </c>
      <c r="L61" s="10" t="inlineStr">
        <is>
          <t>LinkedIn (named role); general partnerships email as backup</t>
        </is>
      </c>
      <c r="M61" s="10" t="inlineStr">
        <is>
          <t>Silver</t>
        </is>
      </c>
      <c r="N61" s="14">
        <f>INDEX(Settings!$B$4:$B$15,MATCH(M61,Settings!$A$4:$A$15,0))</f>
        <v/>
      </c>
      <c r="O61" s="15">
        <f>IF(E61="A",IF(I61&gt;=2022,Settings!$B$18,Settings!$B$19),IF(E61="B",Settings!$B$20,Settings!$B$21))+IF(F61="S",Settings!$B$22,0)</f>
        <v/>
      </c>
      <c r="P61" s="14">
        <f>N61*O61</f>
        <v/>
      </c>
      <c r="Q61" s="16">
        <f>P61*INDEX(Settings!$B$25:$B$27,MATCH(F61,Settings!$A$25:$A$27,0))</f>
        <v/>
      </c>
      <c r="R61" s="10" t="inlineStr">
        <is>
          <t>Parked</t>
        </is>
      </c>
      <c r="S61" s="10" t="inlineStr">
        <is>
          <t>Revisit when 1,000 subscribers or a warm intro exists</t>
        </is>
      </c>
      <c r="T61" s="10" t="inlineStr">
        <is>
          <t>2026-12-01</t>
        </is>
      </c>
      <c r="U61" s="10" t="inlineStr">
        <is>
          <t>CEO</t>
        </is>
      </c>
      <c r="V61" s="10" t="inlineStr">
        <is>
          <t>not assessed</t>
        </is>
      </c>
    </row>
    <row r="62">
      <c r="A62" s="10" t="inlineStr">
        <is>
          <t>S118</t>
        </is>
      </c>
      <c r="B62" s="11" t="inlineStr">
        <is>
          <t>TAP Air Portugal</t>
        </is>
      </c>
      <c r="C62" s="10" t="inlineStr">
        <is>
          <t>Airline</t>
        </is>
      </c>
      <c r="D62" s="10" t="inlineStr">
        <is>
          <t>LU, FR, CH, BR</t>
        </is>
      </c>
      <c r="E62" s="10" t="inlineStr">
        <is>
          <t>C</t>
        </is>
      </c>
      <c r="F62" s="10" t="inlineStr">
        <is>
          <t>L</t>
        </is>
      </c>
      <c r="G62" s="10" t="n"/>
      <c r="H62" s="10" t="inlineStr">
        <is>
          <t>Large or generic; no proof of spend on our audience</t>
        </is>
      </c>
      <c r="I62" s="10" t="n"/>
      <c r="J62" s="10" t="n"/>
      <c r="K62" s="10" t="inlineStr">
        <is>
          <t>Owner or marketing lead</t>
        </is>
      </c>
      <c r="L62" s="10" t="inlineStr">
        <is>
          <t>LinkedIn (named role); general partnerships email as backup</t>
        </is>
      </c>
      <c r="M62" s="10" t="inlineStr">
        <is>
          <t>Gold</t>
        </is>
      </c>
      <c r="N62" s="14">
        <f>INDEX(Settings!$B$4:$B$15,MATCH(M62,Settings!$A$4:$A$15,0))</f>
        <v/>
      </c>
      <c r="O62" s="15">
        <f>IF(E62="A",IF(I62&gt;=2022,Settings!$B$18,Settings!$B$19),IF(E62="B",Settings!$B$20,Settings!$B$21))+IF(F62="S",Settings!$B$22,0)</f>
        <v/>
      </c>
      <c r="P62" s="14">
        <f>N62*O62</f>
        <v/>
      </c>
      <c r="Q62" s="16">
        <f>P62*INDEX(Settings!$B$25:$B$27,MATCH(F62,Settings!$A$25:$A$27,0))</f>
        <v/>
      </c>
      <c r="R62" s="10" t="inlineStr">
        <is>
          <t>Parked</t>
        </is>
      </c>
      <c r="S62" s="10" t="inlineStr">
        <is>
          <t>Revisit when 1,000 subscribers or a warm intro exists</t>
        </is>
      </c>
      <c r="T62" s="10" t="inlineStr">
        <is>
          <t>2026-12-01</t>
        </is>
      </c>
      <c r="U62" s="10" t="inlineStr">
        <is>
          <t>CEO</t>
        </is>
      </c>
      <c r="V62" s="10" t="inlineStr">
        <is>
          <t>not assessed</t>
        </is>
      </c>
    </row>
    <row r="63">
      <c r="A63" s="10" t="inlineStr">
        <is>
          <t>S119</t>
        </is>
      </c>
      <c r="B63" s="11" t="inlineStr">
        <is>
          <t>Taxx</t>
        </is>
      </c>
      <c r="C63" s="10" t="inlineStr">
        <is>
          <t>Tax returns (Luxembourg)</t>
        </is>
      </c>
      <c r="D63" s="10" t="inlineStr">
        <is>
          <t>LU</t>
        </is>
      </c>
      <c r="E63" s="10" t="inlineStr">
        <is>
          <t>C</t>
        </is>
      </c>
      <c r="F63" s="10" t="inlineStr">
        <is>
          <t>L</t>
        </is>
      </c>
      <c r="G63" s="10" t="n"/>
      <c r="H63" s="10" t="inlineStr">
        <is>
          <t>Large or generic; no proof of spend on our audience</t>
        </is>
      </c>
      <c r="I63" s="10" t="n"/>
      <c r="J63" s="10" t="n"/>
      <c r="K63" s="10" t="inlineStr">
        <is>
          <t>Owner or marketing lead</t>
        </is>
      </c>
      <c r="L63" s="10" t="inlineStr">
        <is>
          <t>LinkedIn (named role); general partnerships email as backup</t>
        </is>
      </c>
      <c r="M63" s="10" t="inlineStr">
        <is>
          <t>Silver</t>
        </is>
      </c>
      <c r="N63" s="14">
        <f>INDEX(Settings!$B$4:$B$15,MATCH(M63,Settings!$A$4:$A$15,0))</f>
        <v/>
      </c>
      <c r="O63" s="15">
        <f>IF(E63="A",IF(I63&gt;=2022,Settings!$B$18,Settings!$B$19),IF(E63="B",Settings!$B$20,Settings!$B$21))+IF(F63="S",Settings!$B$22,0)</f>
        <v/>
      </c>
      <c r="P63" s="14">
        <f>N63*O63</f>
        <v/>
      </c>
      <c r="Q63" s="16">
        <f>P63*INDEX(Settings!$B$25:$B$27,MATCH(F63,Settings!$A$25:$A$27,0))</f>
        <v/>
      </c>
      <c r="R63" s="10" t="inlineStr">
        <is>
          <t>Parked</t>
        </is>
      </c>
      <c r="S63" s="10" t="inlineStr">
        <is>
          <t>Revisit when 1,000 subscribers or a warm intro exists</t>
        </is>
      </c>
      <c r="T63" s="10" t="inlineStr">
        <is>
          <t>2026-12-01</t>
        </is>
      </c>
      <c r="U63" s="10" t="inlineStr">
        <is>
          <t>CEO</t>
        </is>
      </c>
      <c r="V63" s="10" t="inlineStr">
        <is>
          <t>not assessed</t>
        </is>
      </c>
    </row>
    <row r="64">
      <c r="A64" s="10" t="inlineStr">
        <is>
          <t>S120</t>
        </is>
      </c>
      <c r="B64" s="11" t="inlineStr">
        <is>
          <t>Telles</t>
        </is>
      </c>
      <c r="C64" s="10" t="inlineStr">
        <is>
          <t>Law firm</t>
        </is>
      </c>
      <c r="D64" s="10" t="inlineStr">
        <is>
          <t>LU, FR, CH, BR</t>
        </is>
      </c>
      <c r="E64" s="10" t="inlineStr">
        <is>
          <t>C</t>
        </is>
      </c>
      <c r="F64" s="10" t="inlineStr">
        <is>
          <t>L</t>
        </is>
      </c>
      <c r="G64" s="10" t="n"/>
      <c r="H64" s="10" t="inlineStr">
        <is>
          <t>Large or generic; no proof of spend on our audience</t>
        </is>
      </c>
      <c r="I64" s="10" t="n"/>
      <c r="J64" s="10" t="n"/>
      <c r="K64" s="10" t="inlineStr">
        <is>
          <t>Managing partner or business development</t>
        </is>
      </c>
      <c r="L64" s="10" t="inlineStr">
        <is>
          <t>LinkedIn (named role); general partnerships email as backup</t>
        </is>
      </c>
      <c r="M64" s="10" t="inlineStr">
        <is>
          <t>Silver</t>
        </is>
      </c>
      <c r="N64" s="14">
        <f>INDEX(Settings!$B$4:$B$15,MATCH(M64,Settings!$A$4:$A$15,0))</f>
        <v/>
      </c>
      <c r="O64" s="15">
        <f>IF(E64="A",IF(I64&gt;=2022,Settings!$B$18,Settings!$B$19),IF(E64="B",Settings!$B$20,Settings!$B$21))+IF(F64="S",Settings!$B$22,0)</f>
        <v/>
      </c>
      <c r="P64" s="14">
        <f>N64*O64</f>
        <v/>
      </c>
      <c r="Q64" s="16">
        <f>P64*INDEX(Settings!$B$25:$B$27,MATCH(F64,Settings!$A$25:$A$27,0))</f>
        <v/>
      </c>
      <c r="R64" s="10" t="inlineStr">
        <is>
          <t>Parked</t>
        </is>
      </c>
      <c r="S64" s="10" t="inlineStr">
        <is>
          <t>Revisit when 1,000 subscribers or a warm intro exists</t>
        </is>
      </c>
      <c r="T64" s="10" t="inlineStr">
        <is>
          <t>2026-12-01</t>
        </is>
      </c>
      <c r="U64" s="10" t="inlineStr">
        <is>
          <t>CEO</t>
        </is>
      </c>
      <c r="V64" s="10" t="inlineStr">
        <is>
          <t>not assessed</t>
        </is>
      </c>
    </row>
    <row r="65">
      <c r="A65" s="10" t="inlineStr">
        <is>
          <t>S138</t>
        </is>
      </c>
      <c r="B65" s="11" t="inlineStr">
        <is>
          <t>Una Seguros</t>
        </is>
      </c>
      <c r="C65" s="10" t="inlineStr">
        <is>
          <t>Insurance</t>
        </is>
      </c>
      <c r="D65" s="10" t="inlineStr">
        <is>
          <t>LU, FR, CH, BR, US, IL</t>
        </is>
      </c>
      <c r="E65" s="10" t="inlineStr">
        <is>
          <t>C</t>
        </is>
      </c>
      <c r="F65" s="10" t="inlineStr">
        <is>
          <t>L</t>
        </is>
      </c>
      <c r="G65" s="13" t="inlineStr">
        <is>
          <t>https://www.doutorfinancas.pt/seguro-vida-geral/</t>
        </is>
      </c>
      <c r="H65" s="10" t="inlineStr">
        <is>
          <t>Insurer listed as a partner by Doutor Finanças' insurance intermediary (Doutor Finanças Protege) (prompt 13); no proof of spend on our audience</t>
        </is>
      </c>
      <c r="I65" s="10" t="n">
        <v>2026</v>
      </c>
      <c r="J65" s="10" t="inlineStr">
        <is>
          <t>Fetched</t>
        </is>
      </c>
      <c r="K65" s="10" t="inlineStr">
        <is>
          <t>Marketing lead, intermediary / partnerships</t>
        </is>
      </c>
      <c r="L65" s="10" t="inlineStr">
        <is>
          <t>LinkedIn (named role); general partnerships email as backup</t>
        </is>
      </c>
      <c r="M65" s="10" t="inlineStr">
        <is>
          <t>Silver</t>
        </is>
      </c>
      <c r="N65" s="14">
        <f>INDEX(Settings!$B$4:$B$15,MATCH(M65,Settings!$A$4:$A$15,0))</f>
        <v/>
      </c>
      <c r="O65" s="15">
        <f>IF(E65="A",IF(I65&gt;=2022,Settings!$B$18,Settings!$B$19),IF(E65="B",Settings!$B$20,Settings!$B$21))+IF(F65="S",Settings!$B$22,0)</f>
        <v/>
      </c>
      <c r="P65" s="14">
        <f>N65*O65</f>
        <v/>
      </c>
      <c r="Q65" s="16">
        <f>P65*INDEX(Settings!$B$25:$B$27,MATCH(F65,Settings!$A$25:$A$27,0))</f>
        <v/>
      </c>
      <c r="R65" s="10" t="inlineStr">
        <is>
          <t>Parked</t>
        </is>
      </c>
      <c r="S65" s="10" t="inlineStr">
        <is>
          <t>Revisit when 1,000 subscribers or a warm intro exists</t>
        </is>
      </c>
      <c r="T65" s="10" t="inlineStr">
        <is>
          <t>2026-12-01</t>
        </is>
      </c>
      <c r="U65" s="10" t="inlineStr">
        <is>
          <t>CEO</t>
        </is>
      </c>
      <c r="V65" s="10" t="inlineStr">
        <is>
          <t>not assessed</t>
        </is>
      </c>
    </row>
    <row r="66">
      <c r="A66" s="10" t="inlineStr">
        <is>
          <t>S122</t>
        </is>
      </c>
      <c r="B66" s="11" t="inlineStr">
        <is>
          <t>VZ VermögensZentrum</t>
        </is>
      </c>
      <c r="C66" s="10" t="inlineStr">
        <is>
          <t>Pension advice (Switzerland)</t>
        </is>
      </c>
      <c r="D66" s="10" t="inlineStr">
        <is>
          <t>CH</t>
        </is>
      </c>
      <c r="E66" s="10" t="inlineStr">
        <is>
          <t>C</t>
        </is>
      </c>
      <c r="F66" s="10" t="inlineStr">
        <is>
          <t>L</t>
        </is>
      </c>
      <c r="G66" s="10" t="n"/>
      <c r="H66" s="10" t="inlineStr">
        <is>
          <t>Large or generic; no proof of spend on our audience</t>
        </is>
      </c>
      <c r="I66" s="10" t="n"/>
      <c r="J66" s="10" t="n"/>
      <c r="K66" s="10" t="inlineStr">
        <is>
          <t>Owner or marketing lead</t>
        </is>
      </c>
      <c r="L66" s="10" t="inlineStr">
        <is>
          <t>LinkedIn (named role); general partnerships email as backup</t>
        </is>
      </c>
      <c r="M66" s="10" t="inlineStr">
        <is>
          <t>Silver</t>
        </is>
      </c>
      <c r="N66" s="14">
        <f>INDEX(Settings!$B$4:$B$15,MATCH(M66,Settings!$A$4:$A$15,0))</f>
        <v/>
      </c>
      <c r="O66" s="15">
        <f>IF(E66="A",IF(I66&gt;=2022,Settings!$B$18,Settings!$B$19),IF(E66="B",Settings!$B$20,Settings!$B$21))+IF(F66="S",Settings!$B$22,0)</f>
        <v/>
      </c>
      <c r="P66" s="14">
        <f>N66*O66</f>
        <v/>
      </c>
      <c r="Q66" s="16">
        <f>P66*INDEX(Settings!$B$25:$B$27,MATCH(F66,Settings!$A$25:$A$27,0))</f>
        <v/>
      </c>
      <c r="R66" s="10" t="inlineStr">
        <is>
          <t>Parked</t>
        </is>
      </c>
      <c r="S66" s="10" t="inlineStr">
        <is>
          <t>Revisit when 1,000 subscribers or a warm intro exists</t>
        </is>
      </c>
      <c r="T66" s="10" t="inlineStr">
        <is>
          <t>2026-12-01</t>
        </is>
      </c>
      <c r="U66" s="10" t="inlineStr">
        <is>
          <t>CEO</t>
        </is>
      </c>
      <c r="V66" s="10" t="inlineStr">
        <is>
          <t>not assessed</t>
        </is>
      </c>
    </row>
    <row r="67">
      <c r="A67" s="10" t="inlineStr">
        <is>
          <t>S139</t>
        </is>
      </c>
      <c r="B67" s="11" t="inlineStr">
        <is>
          <t>Victoria Seguros</t>
        </is>
      </c>
      <c r="C67" s="10" t="inlineStr">
        <is>
          <t>Insurance</t>
        </is>
      </c>
      <c r="D67" s="10" t="inlineStr">
        <is>
          <t>LU, FR, CH, BR, US, IL</t>
        </is>
      </c>
      <c r="E67" s="10" t="inlineStr">
        <is>
          <t>C</t>
        </is>
      </c>
      <c r="F67" s="10" t="inlineStr">
        <is>
          <t>L</t>
        </is>
      </c>
      <c r="G67" s="13" t="inlineStr">
        <is>
          <t>https://www.doutorfinancas.pt/seguro-vida-geral/</t>
        </is>
      </c>
      <c r="H67" s="10" t="inlineStr">
        <is>
          <t>Insurer listed as a partner by Doutor Finanças' insurance intermediary (Doutor Finanças Protege) (prompt 13); no proof of spend on our audience</t>
        </is>
      </c>
      <c r="I67" s="10" t="n">
        <v>2026</v>
      </c>
      <c r="J67" s="10" t="inlineStr">
        <is>
          <t>Fetched</t>
        </is>
      </c>
      <c r="K67" s="10" t="inlineStr">
        <is>
          <t>Marketing lead, intermediary / partnerships</t>
        </is>
      </c>
      <c r="L67" s="10" t="inlineStr">
        <is>
          <t>LinkedIn (named role); general partnerships email as backup</t>
        </is>
      </c>
      <c r="M67" s="10" t="inlineStr">
        <is>
          <t>Silver</t>
        </is>
      </c>
      <c r="N67" s="14">
        <f>INDEX(Settings!$B$4:$B$15,MATCH(M67,Settings!$A$4:$A$15,0))</f>
        <v/>
      </c>
      <c r="O67" s="15">
        <f>IF(E67="A",IF(I67&gt;=2022,Settings!$B$18,Settings!$B$19),IF(E67="B",Settings!$B$20,Settings!$B$21))+IF(F67="S",Settings!$B$22,0)</f>
        <v/>
      </c>
      <c r="P67" s="14">
        <f>N67*O67</f>
        <v/>
      </c>
      <c r="Q67" s="16">
        <f>P67*INDEX(Settings!$B$25:$B$27,MATCH(F67,Settings!$A$25:$A$27,0))</f>
        <v/>
      </c>
      <c r="R67" s="10" t="inlineStr">
        <is>
          <t>Parked</t>
        </is>
      </c>
      <c r="S67" s="10" t="inlineStr">
        <is>
          <t>Revisit when 1,000 subscribers or a warm intro exists</t>
        </is>
      </c>
      <c r="T67" s="10" t="inlineStr">
        <is>
          <t>2026-12-01</t>
        </is>
      </c>
      <c r="U67" s="10" t="inlineStr">
        <is>
          <t>CEO</t>
        </is>
      </c>
      <c r="V67" s="10" t="inlineStr">
        <is>
          <t>not assessed</t>
        </is>
      </c>
    </row>
    <row r="68">
      <c r="A68" s="10" t="inlineStr">
        <is>
          <t>S124</t>
        </is>
      </c>
      <c r="B68" s="11" t="inlineStr">
        <is>
          <t>XP Investimentos</t>
        </is>
      </c>
      <c r="C68" s="10" t="inlineStr">
        <is>
          <t>Investments (Brazil)</t>
        </is>
      </c>
      <c r="D68" s="10" t="inlineStr">
        <is>
          <t>BR</t>
        </is>
      </c>
      <c r="E68" s="10" t="inlineStr">
        <is>
          <t>C</t>
        </is>
      </c>
      <c r="F68" s="10" t="inlineStr">
        <is>
          <t>L</t>
        </is>
      </c>
      <c r="G68" s="10" t="n"/>
      <c r="H68" s="10" t="inlineStr">
        <is>
          <t>Large or generic; no proof of spend on our audience</t>
        </is>
      </c>
      <c r="I68" s="10" t="n"/>
      <c r="J68" s="10" t="n"/>
      <c r="K68" s="10" t="inlineStr">
        <is>
          <t>Owner or marketing lead</t>
        </is>
      </c>
      <c r="L68" s="10" t="inlineStr">
        <is>
          <t>LinkedIn (named role); general partnerships email as backup</t>
        </is>
      </c>
      <c r="M68" s="10" t="inlineStr">
        <is>
          <t>Silver</t>
        </is>
      </c>
      <c r="N68" s="14">
        <f>INDEX(Settings!$B$4:$B$15,MATCH(M68,Settings!$A$4:$A$15,0))</f>
        <v/>
      </c>
      <c r="O68" s="15">
        <f>IF(E68="A",IF(I68&gt;=2022,Settings!$B$18,Settings!$B$19),IF(E68="B",Settings!$B$20,Settings!$B$21))+IF(F68="S",Settings!$B$22,0)</f>
        <v/>
      </c>
      <c r="P68" s="14">
        <f>N68*O68</f>
        <v/>
      </c>
      <c r="Q68" s="16">
        <f>P68*INDEX(Settings!$B$25:$B$27,MATCH(F68,Settings!$A$25:$A$27,0))</f>
        <v/>
      </c>
      <c r="R68" s="10" t="inlineStr">
        <is>
          <t>Parked</t>
        </is>
      </c>
      <c r="S68" s="10" t="inlineStr">
        <is>
          <t>Revisit when 1,000 subscribers or a warm intro exists</t>
        </is>
      </c>
      <c r="T68" s="10" t="inlineStr">
        <is>
          <t>2026-12-01</t>
        </is>
      </c>
      <c r="U68" s="10" t="inlineStr">
        <is>
          <t>CEO</t>
        </is>
      </c>
      <c r="V68" s="10" t="inlineStr">
        <is>
          <t>not assessed</t>
        </is>
      </c>
    </row>
    <row r="69">
      <c r="A69" s="10" t="inlineStr">
        <is>
          <t>S125</t>
        </is>
      </c>
      <c r="B69" s="11" t="inlineStr">
        <is>
          <t>Zaask</t>
        </is>
      </c>
      <c r="C69" s="10" t="inlineStr">
        <is>
          <t>Services marketplace</t>
        </is>
      </c>
      <c r="D69" s="10" t="inlineStr">
        <is>
          <t>LU, FR, CH, BR</t>
        </is>
      </c>
      <c r="E69" s="10" t="inlineStr">
        <is>
          <t>C</t>
        </is>
      </c>
      <c r="F69" s="10" t="inlineStr">
        <is>
          <t>L</t>
        </is>
      </c>
      <c r="G69" s="10" t="n"/>
      <c r="H69" s="10" t="inlineStr">
        <is>
          <t>Large or generic; no proof of spend on our audience</t>
        </is>
      </c>
      <c r="I69" s="10" t="n"/>
      <c r="J69" s="10" t="n"/>
      <c r="K69" s="10" t="inlineStr">
        <is>
          <t>Owner or marketing lead</t>
        </is>
      </c>
      <c r="L69" s="10" t="inlineStr">
        <is>
          <t>LinkedIn (named role); general partnerships email as backup</t>
        </is>
      </c>
      <c r="M69" s="10" t="inlineStr">
        <is>
          <t>Silver</t>
        </is>
      </c>
      <c r="N69" s="14">
        <f>INDEX(Settings!$B$4:$B$15,MATCH(M69,Settings!$A$4:$A$15,0))</f>
        <v/>
      </c>
      <c r="O69" s="15">
        <f>IF(E69="A",IF(I69&gt;=2022,Settings!$B$18,Settings!$B$19),IF(E69="B",Settings!$B$20,Settings!$B$21))+IF(F69="S",Settings!$B$22,0)</f>
        <v/>
      </c>
      <c r="P69" s="14">
        <f>N69*O69</f>
        <v/>
      </c>
      <c r="Q69" s="16">
        <f>P69*INDEX(Settings!$B$25:$B$27,MATCH(F69,Settings!$A$25:$A$27,0))</f>
        <v/>
      </c>
      <c r="R69" s="10" t="inlineStr">
        <is>
          <t>Parked</t>
        </is>
      </c>
      <c r="S69" s="10" t="inlineStr">
        <is>
          <t>Revisit when 1,000 subscribers or a warm intro exists</t>
        </is>
      </c>
      <c r="T69" s="10" t="inlineStr">
        <is>
          <t>2026-12-01</t>
        </is>
      </c>
      <c r="U69" s="10" t="inlineStr">
        <is>
          <t>CEO</t>
        </is>
      </c>
      <c r="V69" s="10" t="inlineStr">
        <is>
          <t>not assessed</t>
        </is>
      </c>
    </row>
    <row r="70">
      <c r="A70" s="10" t="inlineStr">
        <is>
          <t>S140</t>
        </is>
      </c>
      <c r="B70" s="11" t="inlineStr">
        <is>
          <t>Zurich Portugal</t>
        </is>
      </c>
      <c r="C70" s="10" t="inlineStr">
        <is>
          <t>Insurance</t>
        </is>
      </c>
      <c r="D70" s="10" t="inlineStr">
        <is>
          <t>LU, FR, CH, BR, US, IL</t>
        </is>
      </c>
      <c r="E70" s="10" t="inlineStr">
        <is>
          <t>C</t>
        </is>
      </c>
      <c r="F70" s="10" t="inlineStr">
        <is>
          <t>L</t>
        </is>
      </c>
      <c r="G70" s="13" t="inlineStr">
        <is>
          <t>https://www.doutorfinancas.pt/seguro-vida-geral/</t>
        </is>
      </c>
      <c r="H70" s="10" t="inlineStr">
        <is>
          <t>Insurer listed as a partner by Doutor Finanças' insurance intermediary (Doutor Finanças Protege) (prompt 13); no proof of spend on our audience</t>
        </is>
      </c>
      <c r="I70" s="10" t="n">
        <v>2026</v>
      </c>
      <c r="J70" s="10" t="inlineStr">
        <is>
          <t>Fetched</t>
        </is>
      </c>
      <c r="K70" s="10" t="inlineStr">
        <is>
          <t>Marketing lead, intermediary / partnerships</t>
        </is>
      </c>
      <c r="L70" s="10" t="inlineStr">
        <is>
          <t>LinkedIn (named role); general partnerships email as backup</t>
        </is>
      </c>
      <c r="M70" s="10" t="inlineStr">
        <is>
          <t>Silver</t>
        </is>
      </c>
      <c r="N70" s="14">
        <f>INDEX(Settings!$B$4:$B$15,MATCH(M70,Settings!$A$4:$A$15,0))</f>
        <v/>
      </c>
      <c r="O70" s="15">
        <f>IF(E70="A",IF(I70&gt;=2022,Settings!$B$18,Settings!$B$19),IF(E70="B",Settings!$B$20,Settings!$B$21))+IF(F70="S",Settings!$B$22,0)</f>
        <v/>
      </c>
      <c r="P70" s="14">
        <f>N70*O70</f>
        <v/>
      </c>
      <c r="Q70" s="16">
        <f>P70*INDEX(Settings!$B$25:$B$27,MATCH(F70,Settings!$A$25:$A$27,0))</f>
        <v/>
      </c>
      <c r="R70" s="10" t="inlineStr">
        <is>
          <t>Parked</t>
        </is>
      </c>
      <c r="S70" s="10" t="inlineStr">
        <is>
          <t>Revisit when 1,000 subscribers or a warm intro exists</t>
        </is>
      </c>
      <c r="T70" s="10" t="inlineStr">
        <is>
          <t>2026-12-01</t>
        </is>
      </c>
      <c r="U70" s="10" t="inlineStr">
        <is>
          <t>CEO</t>
        </is>
      </c>
      <c r="V70" s="10" t="inlineStr">
        <is>
          <t>not assessed</t>
        </is>
      </c>
    </row>
  </sheetData>
  <autoFilter ref="A1:V70"/>
  <dataValidations count="1">
    <dataValidation sqref="R2:R70" showDropDown="0" showInputMessage="0" showErrorMessage="0" allowBlank="0" type="list">
      <formula1>"To contact,Contacted,Replied,Call booked,Proposal sent,Won,Lost,Parked"</formula1>
    </dataValidation>
  </dataValidations>
  <hyperlinks>
    <hyperlink xmlns:r="http://schemas.openxmlformats.org/officeDocument/2006/relationships" ref="G3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15" r:id="rId4"/>
    <hyperlink xmlns:r="http://schemas.openxmlformats.org/officeDocument/2006/relationships" ref="G18" r:id="rId5"/>
    <hyperlink xmlns:r="http://schemas.openxmlformats.org/officeDocument/2006/relationships" ref="G23" r:id="rId6"/>
    <hyperlink xmlns:r="http://schemas.openxmlformats.org/officeDocument/2006/relationships" ref="G26" r:id="rId7"/>
    <hyperlink xmlns:r="http://schemas.openxmlformats.org/officeDocument/2006/relationships" ref="G31" r:id="rId8"/>
    <hyperlink xmlns:r="http://schemas.openxmlformats.org/officeDocument/2006/relationships" ref="G34" r:id="rId9"/>
    <hyperlink xmlns:r="http://schemas.openxmlformats.org/officeDocument/2006/relationships" ref="G43" r:id="rId10"/>
    <hyperlink xmlns:r="http://schemas.openxmlformats.org/officeDocument/2006/relationships" ref="G44" r:id="rId11"/>
    <hyperlink xmlns:r="http://schemas.openxmlformats.org/officeDocument/2006/relationships" ref="G46" r:id="rId12"/>
    <hyperlink xmlns:r="http://schemas.openxmlformats.org/officeDocument/2006/relationships" ref="G47" r:id="rId13"/>
    <hyperlink xmlns:r="http://schemas.openxmlformats.org/officeDocument/2006/relationships" ref="G53" r:id="rId14"/>
    <hyperlink xmlns:r="http://schemas.openxmlformats.org/officeDocument/2006/relationships" ref="G56" r:id="rId15"/>
    <hyperlink xmlns:r="http://schemas.openxmlformats.org/officeDocument/2006/relationships" ref="G59" r:id="rId16"/>
    <hyperlink xmlns:r="http://schemas.openxmlformats.org/officeDocument/2006/relationships" ref="G65" r:id="rId17"/>
    <hyperlink xmlns:r="http://schemas.openxmlformats.org/officeDocument/2006/relationships" ref="G67" r:id="rId18"/>
    <hyperlink xmlns:r="http://schemas.openxmlformats.org/officeDocument/2006/relationships" ref="G70" r:id="rId1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7" customWidth="1" min="2" max="2"/>
    <col width="32" customWidth="1" min="3" max="3"/>
    <col width="14" customWidth="1" min="4" max="4"/>
    <col width="6" customWidth="1" min="5" max="5"/>
    <col width="16" customWidth="1" min="6" max="6"/>
    <col width="14" customWidth="1" min="7" max="7"/>
    <col width="12" customWidth="1" min="8" max="8"/>
    <col width="34" customWidth="1" min="9" max="9"/>
    <col width="34" customWidth="1" min="10" max="10"/>
    <col width="12" customWidth="1" min="11" max="11"/>
    <col width="14" customWidth="1" min="12" max="12"/>
  </cols>
  <sheetData>
    <row r="1">
      <c r="A1" s="9" t="inlineStr">
        <is>
          <t>#</t>
        </is>
      </c>
      <c r="B1" s="9" t="inlineStr">
        <is>
          <t>ID</t>
        </is>
      </c>
      <c r="C1" s="9" t="inlineStr">
        <is>
          <t>Company</t>
        </is>
      </c>
      <c r="D1" s="9" t="inlineStr">
        <is>
          <t>Editions</t>
        </is>
      </c>
      <c r="E1" s="9" t="inlineStr">
        <is>
          <t>Tier</t>
        </is>
      </c>
      <c r="F1" s="9" t="inlineStr">
        <is>
          <t>Offer</t>
        </is>
      </c>
      <c r="G1" s="9" t="inlineStr">
        <is>
          <t>Expected value (€)</t>
        </is>
      </c>
      <c r="H1" s="9" t="inlineStr">
        <is>
          <t>Priority score</t>
        </is>
      </c>
      <c r="I1" s="9" t="inlineStr">
        <is>
          <t>Who to reach</t>
        </is>
      </c>
      <c r="J1" s="9" t="inlineStr">
        <is>
          <t>Channel</t>
        </is>
      </c>
      <c r="K1" s="9" t="inlineStr">
        <is>
          <t>Send on</t>
        </is>
      </c>
      <c r="L1" s="9" t="inlineStr">
        <is>
          <t>Status</t>
        </is>
      </c>
    </row>
    <row r="2">
      <c r="A2" s="4" t="n">
        <v>1</v>
      </c>
      <c r="B2" s="4" t="inlineStr">
        <is>
          <t>S001</t>
        </is>
      </c>
      <c r="C2" s="11">
        <f>INDEX('Pipeline A-B'!$B$2:$B$132,MATCH($B2,'Pipeline A-B'!$A$2:$A$132,0))</f>
        <v/>
      </c>
      <c r="D2" s="10">
        <f>INDEX('Pipeline A-B'!$D$2:$D$132,MATCH($B2,'Pipeline A-B'!$A$2:$A$132,0))</f>
        <v/>
      </c>
      <c r="E2" s="10">
        <f>INDEX('Pipeline A-B'!$E$2:$E$132,MATCH($B2,'Pipeline A-B'!$A$2:$A$132,0))</f>
        <v/>
      </c>
      <c r="F2" s="10">
        <f>INDEX('Pipeline A-B'!$M$2:$M$132,MATCH($B2,'Pipeline A-B'!$A$2:$A$132,0))</f>
        <v/>
      </c>
      <c r="G2" s="18">
        <f>INDEX('Pipeline A-B'!$P$2:$P$132,MATCH($B2,'Pipeline A-B'!$A$2:$A$132,0))</f>
        <v/>
      </c>
      <c r="H2" s="19">
        <f>INDEX('Pipeline A-B'!$Q$2:$Q$132,MATCH($B2,'Pipeline A-B'!$A$2:$A$132,0))</f>
        <v/>
      </c>
      <c r="I2" s="10">
        <f>INDEX('Pipeline A-B'!$K$2:$K$132,MATCH($B2,'Pipeline A-B'!$A$2:$A$132,0))</f>
        <v/>
      </c>
      <c r="J2" s="10">
        <f>INDEX('Pipeline A-B'!$L$2:$L$132,MATCH($B2,'Pipeline A-B'!$A$2:$A$132,0))</f>
        <v/>
      </c>
      <c r="K2" s="10">
        <f>INDEX('Pipeline A-B'!$T$2:$T$132,MATCH($B2,'Pipeline A-B'!$A$2:$A$132,0))</f>
        <v/>
      </c>
      <c r="L2" s="10">
        <f>INDEX('Pipeline A-B'!$R$2:$R$132,MATCH($B2,'Pipeline A-B'!$A$2:$A$132,0))</f>
        <v/>
      </c>
    </row>
    <row r="3">
      <c r="A3" s="4" t="n">
        <v>2</v>
      </c>
      <c r="B3" s="4" t="inlineStr">
        <is>
          <t>S002</t>
        </is>
      </c>
      <c r="C3" s="11">
        <f>INDEX('Pipeline A-B'!$B$2:$B$132,MATCH($B3,'Pipeline A-B'!$A$2:$A$132,0))</f>
        <v/>
      </c>
      <c r="D3" s="10">
        <f>INDEX('Pipeline A-B'!$D$2:$D$132,MATCH($B3,'Pipeline A-B'!$A$2:$A$132,0))</f>
        <v/>
      </c>
      <c r="E3" s="10">
        <f>INDEX('Pipeline A-B'!$E$2:$E$132,MATCH($B3,'Pipeline A-B'!$A$2:$A$132,0))</f>
        <v/>
      </c>
      <c r="F3" s="10">
        <f>INDEX('Pipeline A-B'!$M$2:$M$132,MATCH($B3,'Pipeline A-B'!$A$2:$A$132,0))</f>
        <v/>
      </c>
      <c r="G3" s="18">
        <f>INDEX('Pipeline A-B'!$P$2:$P$132,MATCH($B3,'Pipeline A-B'!$A$2:$A$132,0))</f>
        <v/>
      </c>
      <c r="H3" s="19">
        <f>INDEX('Pipeline A-B'!$Q$2:$Q$132,MATCH($B3,'Pipeline A-B'!$A$2:$A$132,0))</f>
        <v/>
      </c>
      <c r="I3" s="10">
        <f>INDEX('Pipeline A-B'!$K$2:$K$132,MATCH($B3,'Pipeline A-B'!$A$2:$A$132,0))</f>
        <v/>
      </c>
      <c r="J3" s="10">
        <f>INDEX('Pipeline A-B'!$L$2:$L$132,MATCH($B3,'Pipeline A-B'!$A$2:$A$132,0))</f>
        <v/>
      </c>
      <c r="K3" s="10">
        <f>INDEX('Pipeline A-B'!$T$2:$T$132,MATCH($B3,'Pipeline A-B'!$A$2:$A$132,0))</f>
        <v/>
      </c>
      <c r="L3" s="10">
        <f>INDEX('Pipeline A-B'!$R$2:$R$132,MATCH($B3,'Pipeline A-B'!$A$2:$A$132,0))</f>
        <v/>
      </c>
    </row>
    <row r="4">
      <c r="A4" s="4" t="n">
        <v>3</v>
      </c>
      <c r="B4" s="4" t="inlineStr">
        <is>
          <t>S003</t>
        </is>
      </c>
      <c r="C4" s="11">
        <f>INDEX('Pipeline A-B'!$B$2:$B$132,MATCH($B4,'Pipeline A-B'!$A$2:$A$132,0))</f>
        <v/>
      </c>
      <c r="D4" s="10">
        <f>INDEX('Pipeline A-B'!$D$2:$D$132,MATCH($B4,'Pipeline A-B'!$A$2:$A$132,0))</f>
        <v/>
      </c>
      <c r="E4" s="10">
        <f>INDEX('Pipeline A-B'!$E$2:$E$132,MATCH($B4,'Pipeline A-B'!$A$2:$A$132,0))</f>
        <v/>
      </c>
      <c r="F4" s="10">
        <f>INDEX('Pipeline A-B'!$M$2:$M$132,MATCH($B4,'Pipeline A-B'!$A$2:$A$132,0))</f>
        <v/>
      </c>
      <c r="G4" s="18">
        <f>INDEX('Pipeline A-B'!$P$2:$P$132,MATCH($B4,'Pipeline A-B'!$A$2:$A$132,0))</f>
        <v/>
      </c>
      <c r="H4" s="19">
        <f>INDEX('Pipeline A-B'!$Q$2:$Q$132,MATCH($B4,'Pipeline A-B'!$A$2:$A$132,0))</f>
        <v/>
      </c>
      <c r="I4" s="10">
        <f>INDEX('Pipeline A-B'!$K$2:$K$132,MATCH($B4,'Pipeline A-B'!$A$2:$A$132,0))</f>
        <v/>
      </c>
      <c r="J4" s="10">
        <f>INDEX('Pipeline A-B'!$L$2:$L$132,MATCH($B4,'Pipeline A-B'!$A$2:$A$132,0))</f>
        <v/>
      </c>
      <c r="K4" s="10">
        <f>INDEX('Pipeline A-B'!$T$2:$T$132,MATCH($B4,'Pipeline A-B'!$A$2:$A$132,0))</f>
        <v/>
      </c>
      <c r="L4" s="10">
        <f>INDEX('Pipeline A-B'!$R$2:$R$132,MATCH($B4,'Pipeline A-B'!$A$2:$A$132,0))</f>
        <v/>
      </c>
    </row>
    <row r="5">
      <c r="A5" s="4" t="n">
        <v>4</v>
      </c>
      <c r="B5" s="4" t="inlineStr">
        <is>
          <t>S004</t>
        </is>
      </c>
      <c r="C5" s="11">
        <f>INDEX('Pipeline A-B'!$B$2:$B$132,MATCH($B5,'Pipeline A-B'!$A$2:$A$132,0))</f>
        <v/>
      </c>
      <c r="D5" s="10">
        <f>INDEX('Pipeline A-B'!$D$2:$D$132,MATCH($B5,'Pipeline A-B'!$A$2:$A$132,0))</f>
        <v/>
      </c>
      <c r="E5" s="10">
        <f>INDEX('Pipeline A-B'!$E$2:$E$132,MATCH($B5,'Pipeline A-B'!$A$2:$A$132,0))</f>
        <v/>
      </c>
      <c r="F5" s="10">
        <f>INDEX('Pipeline A-B'!$M$2:$M$132,MATCH($B5,'Pipeline A-B'!$A$2:$A$132,0))</f>
        <v/>
      </c>
      <c r="G5" s="18">
        <f>INDEX('Pipeline A-B'!$P$2:$P$132,MATCH($B5,'Pipeline A-B'!$A$2:$A$132,0))</f>
        <v/>
      </c>
      <c r="H5" s="19">
        <f>INDEX('Pipeline A-B'!$Q$2:$Q$132,MATCH($B5,'Pipeline A-B'!$A$2:$A$132,0))</f>
        <v/>
      </c>
      <c r="I5" s="10">
        <f>INDEX('Pipeline A-B'!$K$2:$K$132,MATCH($B5,'Pipeline A-B'!$A$2:$A$132,0))</f>
        <v/>
      </c>
      <c r="J5" s="10">
        <f>INDEX('Pipeline A-B'!$L$2:$L$132,MATCH($B5,'Pipeline A-B'!$A$2:$A$132,0))</f>
        <v/>
      </c>
      <c r="K5" s="10">
        <f>INDEX('Pipeline A-B'!$T$2:$T$132,MATCH($B5,'Pipeline A-B'!$A$2:$A$132,0))</f>
        <v/>
      </c>
      <c r="L5" s="10">
        <f>INDEX('Pipeline A-B'!$R$2:$R$132,MATCH($B5,'Pipeline A-B'!$A$2:$A$132,0))</f>
        <v/>
      </c>
    </row>
    <row r="6">
      <c r="A6" s="4" t="n">
        <v>5</v>
      </c>
      <c r="B6" s="4" t="inlineStr">
        <is>
          <t>S005</t>
        </is>
      </c>
      <c r="C6" s="11">
        <f>INDEX('Pipeline A-B'!$B$2:$B$132,MATCH($B6,'Pipeline A-B'!$A$2:$A$132,0))</f>
        <v/>
      </c>
      <c r="D6" s="10">
        <f>INDEX('Pipeline A-B'!$D$2:$D$132,MATCH($B6,'Pipeline A-B'!$A$2:$A$132,0))</f>
        <v/>
      </c>
      <c r="E6" s="10">
        <f>INDEX('Pipeline A-B'!$E$2:$E$132,MATCH($B6,'Pipeline A-B'!$A$2:$A$132,0))</f>
        <v/>
      </c>
      <c r="F6" s="10">
        <f>INDEX('Pipeline A-B'!$M$2:$M$132,MATCH($B6,'Pipeline A-B'!$A$2:$A$132,0))</f>
        <v/>
      </c>
      <c r="G6" s="18">
        <f>INDEX('Pipeline A-B'!$P$2:$P$132,MATCH($B6,'Pipeline A-B'!$A$2:$A$132,0))</f>
        <v/>
      </c>
      <c r="H6" s="19">
        <f>INDEX('Pipeline A-B'!$Q$2:$Q$132,MATCH($B6,'Pipeline A-B'!$A$2:$A$132,0))</f>
        <v/>
      </c>
      <c r="I6" s="10">
        <f>INDEX('Pipeline A-B'!$K$2:$K$132,MATCH($B6,'Pipeline A-B'!$A$2:$A$132,0))</f>
        <v/>
      </c>
      <c r="J6" s="10">
        <f>INDEX('Pipeline A-B'!$L$2:$L$132,MATCH($B6,'Pipeline A-B'!$A$2:$A$132,0))</f>
        <v/>
      </c>
      <c r="K6" s="10">
        <f>INDEX('Pipeline A-B'!$T$2:$T$132,MATCH($B6,'Pipeline A-B'!$A$2:$A$132,0))</f>
        <v/>
      </c>
      <c r="L6" s="10">
        <f>INDEX('Pipeline A-B'!$R$2:$R$132,MATCH($B6,'Pipeline A-B'!$A$2:$A$132,0))</f>
        <v/>
      </c>
    </row>
    <row r="7">
      <c r="A7" s="4" t="n">
        <v>6</v>
      </c>
      <c r="B7" s="4" t="inlineStr">
        <is>
          <t>S006</t>
        </is>
      </c>
      <c r="C7" s="11">
        <f>INDEX('Pipeline A-B'!$B$2:$B$132,MATCH($B7,'Pipeline A-B'!$A$2:$A$132,0))</f>
        <v/>
      </c>
      <c r="D7" s="10">
        <f>INDEX('Pipeline A-B'!$D$2:$D$132,MATCH($B7,'Pipeline A-B'!$A$2:$A$132,0))</f>
        <v/>
      </c>
      <c r="E7" s="10">
        <f>INDEX('Pipeline A-B'!$E$2:$E$132,MATCH($B7,'Pipeline A-B'!$A$2:$A$132,0))</f>
        <v/>
      </c>
      <c r="F7" s="10">
        <f>INDEX('Pipeline A-B'!$M$2:$M$132,MATCH($B7,'Pipeline A-B'!$A$2:$A$132,0))</f>
        <v/>
      </c>
      <c r="G7" s="18">
        <f>INDEX('Pipeline A-B'!$P$2:$P$132,MATCH($B7,'Pipeline A-B'!$A$2:$A$132,0))</f>
        <v/>
      </c>
      <c r="H7" s="19">
        <f>INDEX('Pipeline A-B'!$Q$2:$Q$132,MATCH($B7,'Pipeline A-B'!$A$2:$A$132,0))</f>
        <v/>
      </c>
      <c r="I7" s="10">
        <f>INDEX('Pipeline A-B'!$K$2:$K$132,MATCH($B7,'Pipeline A-B'!$A$2:$A$132,0))</f>
        <v/>
      </c>
      <c r="J7" s="10">
        <f>INDEX('Pipeline A-B'!$L$2:$L$132,MATCH($B7,'Pipeline A-B'!$A$2:$A$132,0))</f>
        <v/>
      </c>
      <c r="K7" s="10">
        <f>INDEX('Pipeline A-B'!$T$2:$T$132,MATCH($B7,'Pipeline A-B'!$A$2:$A$132,0))</f>
        <v/>
      </c>
      <c r="L7" s="10">
        <f>INDEX('Pipeline A-B'!$R$2:$R$132,MATCH($B7,'Pipeline A-B'!$A$2:$A$132,0))</f>
        <v/>
      </c>
    </row>
    <row r="8">
      <c r="A8" s="4" t="n">
        <v>7</v>
      </c>
      <c r="B8" s="4" t="inlineStr">
        <is>
          <t>S007</t>
        </is>
      </c>
      <c r="C8" s="11">
        <f>INDEX('Pipeline A-B'!$B$2:$B$132,MATCH($B8,'Pipeline A-B'!$A$2:$A$132,0))</f>
        <v/>
      </c>
      <c r="D8" s="10">
        <f>INDEX('Pipeline A-B'!$D$2:$D$132,MATCH($B8,'Pipeline A-B'!$A$2:$A$132,0))</f>
        <v/>
      </c>
      <c r="E8" s="10">
        <f>INDEX('Pipeline A-B'!$E$2:$E$132,MATCH($B8,'Pipeline A-B'!$A$2:$A$132,0))</f>
        <v/>
      </c>
      <c r="F8" s="10">
        <f>INDEX('Pipeline A-B'!$M$2:$M$132,MATCH($B8,'Pipeline A-B'!$A$2:$A$132,0))</f>
        <v/>
      </c>
      <c r="G8" s="18">
        <f>INDEX('Pipeline A-B'!$P$2:$P$132,MATCH($B8,'Pipeline A-B'!$A$2:$A$132,0))</f>
        <v/>
      </c>
      <c r="H8" s="19">
        <f>INDEX('Pipeline A-B'!$Q$2:$Q$132,MATCH($B8,'Pipeline A-B'!$A$2:$A$132,0))</f>
        <v/>
      </c>
      <c r="I8" s="10">
        <f>INDEX('Pipeline A-B'!$K$2:$K$132,MATCH($B8,'Pipeline A-B'!$A$2:$A$132,0))</f>
        <v/>
      </c>
      <c r="J8" s="10">
        <f>INDEX('Pipeline A-B'!$L$2:$L$132,MATCH($B8,'Pipeline A-B'!$A$2:$A$132,0))</f>
        <v/>
      </c>
      <c r="K8" s="10">
        <f>INDEX('Pipeline A-B'!$T$2:$T$132,MATCH($B8,'Pipeline A-B'!$A$2:$A$132,0))</f>
        <v/>
      </c>
      <c r="L8" s="10">
        <f>INDEX('Pipeline A-B'!$R$2:$R$132,MATCH($B8,'Pipeline A-B'!$A$2:$A$132,0))</f>
        <v/>
      </c>
    </row>
    <row r="9">
      <c r="A9" s="4" t="n">
        <v>8</v>
      </c>
      <c r="B9" s="4" t="inlineStr">
        <is>
          <t>S008</t>
        </is>
      </c>
      <c r="C9" s="11">
        <f>INDEX('Pipeline A-B'!$B$2:$B$132,MATCH($B9,'Pipeline A-B'!$A$2:$A$132,0))</f>
        <v/>
      </c>
      <c r="D9" s="10">
        <f>INDEX('Pipeline A-B'!$D$2:$D$132,MATCH($B9,'Pipeline A-B'!$A$2:$A$132,0))</f>
        <v/>
      </c>
      <c r="E9" s="10">
        <f>INDEX('Pipeline A-B'!$E$2:$E$132,MATCH($B9,'Pipeline A-B'!$A$2:$A$132,0))</f>
        <v/>
      </c>
      <c r="F9" s="10">
        <f>INDEX('Pipeline A-B'!$M$2:$M$132,MATCH($B9,'Pipeline A-B'!$A$2:$A$132,0))</f>
        <v/>
      </c>
      <c r="G9" s="18">
        <f>INDEX('Pipeline A-B'!$P$2:$P$132,MATCH($B9,'Pipeline A-B'!$A$2:$A$132,0))</f>
        <v/>
      </c>
      <c r="H9" s="19">
        <f>INDEX('Pipeline A-B'!$Q$2:$Q$132,MATCH($B9,'Pipeline A-B'!$A$2:$A$132,0))</f>
        <v/>
      </c>
      <c r="I9" s="10">
        <f>INDEX('Pipeline A-B'!$K$2:$K$132,MATCH($B9,'Pipeline A-B'!$A$2:$A$132,0))</f>
        <v/>
      </c>
      <c r="J9" s="10">
        <f>INDEX('Pipeline A-B'!$L$2:$L$132,MATCH($B9,'Pipeline A-B'!$A$2:$A$132,0))</f>
        <v/>
      </c>
      <c r="K9" s="10">
        <f>INDEX('Pipeline A-B'!$T$2:$T$132,MATCH($B9,'Pipeline A-B'!$A$2:$A$132,0))</f>
        <v/>
      </c>
      <c r="L9" s="10">
        <f>INDEX('Pipeline A-B'!$R$2:$R$132,MATCH($B9,'Pipeline A-B'!$A$2:$A$132,0))</f>
        <v/>
      </c>
    </row>
    <row r="10">
      <c r="A10" s="4" t="n">
        <v>9</v>
      </c>
      <c r="B10" s="4" t="inlineStr">
        <is>
          <t>S009</t>
        </is>
      </c>
      <c r="C10" s="11">
        <f>INDEX('Pipeline A-B'!$B$2:$B$132,MATCH($B10,'Pipeline A-B'!$A$2:$A$132,0))</f>
        <v/>
      </c>
      <c r="D10" s="10">
        <f>INDEX('Pipeline A-B'!$D$2:$D$132,MATCH($B10,'Pipeline A-B'!$A$2:$A$132,0))</f>
        <v/>
      </c>
      <c r="E10" s="10">
        <f>INDEX('Pipeline A-B'!$E$2:$E$132,MATCH($B10,'Pipeline A-B'!$A$2:$A$132,0))</f>
        <v/>
      </c>
      <c r="F10" s="10">
        <f>INDEX('Pipeline A-B'!$M$2:$M$132,MATCH($B10,'Pipeline A-B'!$A$2:$A$132,0))</f>
        <v/>
      </c>
      <c r="G10" s="18">
        <f>INDEX('Pipeline A-B'!$P$2:$P$132,MATCH($B10,'Pipeline A-B'!$A$2:$A$132,0))</f>
        <v/>
      </c>
      <c r="H10" s="19">
        <f>INDEX('Pipeline A-B'!$Q$2:$Q$132,MATCH($B10,'Pipeline A-B'!$A$2:$A$132,0))</f>
        <v/>
      </c>
      <c r="I10" s="10">
        <f>INDEX('Pipeline A-B'!$K$2:$K$132,MATCH($B10,'Pipeline A-B'!$A$2:$A$132,0))</f>
        <v/>
      </c>
      <c r="J10" s="10">
        <f>INDEX('Pipeline A-B'!$L$2:$L$132,MATCH($B10,'Pipeline A-B'!$A$2:$A$132,0))</f>
        <v/>
      </c>
      <c r="K10" s="10">
        <f>INDEX('Pipeline A-B'!$T$2:$T$132,MATCH($B10,'Pipeline A-B'!$A$2:$A$132,0))</f>
        <v/>
      </c>
      <c r="L10" s="10">
        <f>INDEX('Pipeline A-B'!$R$2:$R$132,MATCH($B10,'Pipeline A-B'!$A$2:$A$132,0))</f>
        <v/>
      </c>
    </row>
    <row r="11">
      <c r="A11" s="4" t="n">
        <v>10</v>
      </c>
      <c r="B11" s="4" t="inlineStr">
        <is>
          <t>S010</t>
        </is>
      </c>
      <c r="C11" s="11">
        <f>INDEX('Pipeline A-B'!$B$2:$B$132,MATCH($B11,'Pipeline A-B'!$A$2:$A$132,0))</f>
        <v/>
      </c>
      <c r="D11" s="10">
        <f>INDEX('Pipeline A-B'!$D$2:$D$132,MATCH($B11,'Pipeline A-B'!$A$2:$A$132,0))</f>
        <v/>
      </c>
      <c r="E11" s="10">
        <f>INDEX('Pipeline A-B'!$E$2:$E$132,MATCH($B11,'Pipeline A-B'!$A$2:$A$132,0))</f>
        <v/>
      </c>
      <c r="F11" s="10">
        <f>INDEX('Pipeline A-B'!$M$2:$M$132,MATCH($B11,'Pipeline A-B'!$A$2:$A$132,0))</f>
        <v/>
      </c>
      <c r="G11" s="18">
        <f>INDEX('Pipeline A-B'!$P$2:$P$132,MATCH($B11,'Pipeline A-B'!$A$2:$A$132,0))</f>
        <v/>
      </c>
      <c r="H11" s="19">
        <f>INDEX('Pipeline A-B'!$Q$2:$Q$132,MATCH($B11,'Pipeline A-B'!$A$2:$A$132,0))</f>
        <v/>
      </c>
      <c r="I11" s="10">
        <f>INDEX('Pipeline A-B'!$K$2:$K$132,MATCH($B11,'Pipeline A-B'!$A$2:$A$132,0))</f>
        <v/>
      </c>
      <c r="J11" s="10">
        <f>INDEX('Pipeline A-B'!$L$2:$L$132,MATCH($B11,'Pipeline A-B'!$A$2:$A$132,0))</f>
        <v/>
      </c>
      <c r="K11" s="10">
        <f>INDEX('Pipeline A-B'!$T$2:$T$132,MATCH($B11,'Pipeline A-B'!$A$2:$A$132,0))</f>
        <v/>
      </c>
      <c r="L11" s="10">
        <f>INDEX('Pipeline A-B'!$R$2:$R$132,MATCH($B11,'Pipeline A-B'!$A$2:$A$132,0))</f>
        <v/>
      </c>
    </row>
    <row r="12">
      <c r="A12" s="4" t="n">
        <v>11</v>
      </c>
      <c r="B12" s="4" t="inlineStr">
        <is>
          <t>S011</t>
        </is>
      </c>
      <c r="C12" s="11">
        <f>INDEX('Pipeline A-B'!$B$2:$B$132,MATCH($B12,'Pipeline A-B'!$A$2:$A$132,0))</f>
        <v/>
      </c>
      <c r="D12" s="10">
        <f>INDEX('Pipeline A-B'!$D$2:$D$132,MATCH($B12,'Pipeline A-B'!$A$2:$A$132,0))</f>
        <v/>
      </c>
      <c r="E12" s="10">
        <f>INDEX('Pipeline A-B'!$E$2:$E$132,MATCH($B12,'Pipeline A-B'!$A$2:$A$132,0))</f>
        <v/>
      </c>
      <c r="F12" s="10">
        <f>INDEX('Pipeline A-B'!$M$2:$M$132,MATCH($B12,'Pipeline A-B'!$A$2:$A$132,0))</f>
        <v/>
      </c>
      <c r="G12" s="18">
        <f>INDEX('Pipeline A-B'!$P$2:$P$132,MATCH($B12,'Pipeline A-B'!$A$2:$A$132,0))</f>
        <v/>
      </c>
      <c r="H12" s="19">
        <f>INDEX('Pipeline A-B'!$Q$2:$Q$132,MATCH($B12,'Pipeline A-B'!$A$2:$A$132,0))</f>
        <v/>
      </c>
      <c r="I12" s="10">
        <f>INDEX('Pipeline A-B'!$K$2:$K$132,MATCH($B12,'Pipeline A-B'!$A$2:$A$132,0))</f>
        <v/>
      </c>
      <c r="J12" s="10">
        <f>INDEX('Pipeline A-B'!$L$2:$L$132,MATCH($B12,'Pipeline A-B'!$A$2:$A$132,0))</f>
        <v/>
      </c>
      <c r="K12" s="10">
        <f>INDEX('Pipeline A-B'!$T$2:$T$132,MATCH($B12,'Pipeline A-B'!$A$2:$A$132,0))</f>
        <v/>
      </c>
      <c r="L12" s="10">
        <f>INDEX('Pipeline A-B'!$R$2:$R$132,MATCH($B12,'Pipeline A-B'!$A$2:$A$132,0))</f>
        <v/>
      </c>
    </row>
    <row r="13">
      <c r="A13" s="4" t="n">
        <v>12</v>
      </c>
      <c r="B13" s="4" t="inlineStr">
        <is>
          <t>S012</t>
        </is>
      </c>
      <c r="C13" s="11">
        <f>INDEX('Pipeline A-B'!$B$2:$B$132,MATCH($B13,'Pipeline A-B'!$A$2:$A$132,0))</f>
        <v/>
      </c>
      <c r="D13" s="10">
        <f>INDEX('Pipeline A-B'!$D$2:$D$132,MATCH($B13,'Pipeline A-B'!$A$2:$A$132,0))</f>
        <v/>
      </c>
      <c r="E13" s="10">
        <f>INDEX('Pipeline A-B'!$E$2:$E$132,MATCH($B13,'Pipeline A-B'!$A$2:$A$132,0))</f>
        <v/>
      </c>
      <c r="F13" s="10">
        <f>INDEX('Pipeline A-B'!$M$2:$M$132,MATCH($B13,'Pipeline A-B'!$A$2:$A$132,0))</f>
        <v/>
      </c>
      <c r="G13" s="18">
        <f>INDEX('Pipeline A-B'!$P$2:$P$132,MATCH($B13,'Pipeline A-B'!$A$2:$A$132,0))</f>
        <v/>
      </c>
      <c r="H13" s="19">
        <f>INDEX('Pipeline A-B'!$Q$2:$Q$132,MATCH($B13,'Pipeline A-B'!$A$2:$A$132,0))</f>
        <v/>
      </c>
      <c r="I13" s="10">
        <f>INDEX('Pipeline A-B'!$K$2:$K$132,MATCH($B13,'Pipeline A-B'!$A$2:$A$132,0))</f>
        <v/>
      </c>
      <c r="J13" s="10">
        <f>INDEX('Pipeline A-B'!$L$2:$L$132,MATCH($B13,'Pipeline A-B'!$A$2:$A$132,0))</f>
        <v/>
      </c>
      <c r="K13" s="10">
        <f>INDEX('Pipeline A-B'!$T$2:$T$132,MATCH($B13,'Pipeline A-B'!$A$2:$A$132,0))</f>
        <v/>
      </c>
      <c r="L13" s="10">
        <f>INDEX('Pipeline A-B'!$R$2:$R$132,MATCH($B13,'Pipeline A-B'!$A$2:$A$132,0))</f>
        <v/>
      </c>
    </row>
    <row r="14">
      <c r="A14" s="4" t="n">
        <v>13</v>
      </c>
      <c r="B14" s="4" t="inlineStr">
        <is>
          <t>S013</t>
        </is>
      </c>
      <c r="C14" s="11">
        <f>INDEX('Pipeline A-B'!$B$2:$B$132,MATCH($B14,'Pipeline A-B'!$A$2:$A$132,0))</f>
        <v/>
      </c>
      <c r="D14" s="10">
        <f>INDEX('Pipeline A-B'!$D$2:$D$132,MATCH($B14,'Pipeline A-B'!$A$2:$A$132,0))</f>
        <v/>
      </c>
      <c r="E14" s="10">
        <f>INDEX('Pipeline A-B'!$E$2:$E$132,MATCH($B14,'Pipeline A-B'!$A$2:$A$132,0))</f>
        <v/>
      </c>
      <c r="F14" s="10">
        <f>INDEX('Pipeline A-B'!$M$2:$M$132,MATCH($B14,'Pipeline A-B'!$A$2:$A$132,0))</f>
        <v/>
      </c>
      <c r="G14" s="18">
        <f>INDEX('Pipeline A-B'!$P$2:$P$132,MATCH($B14,'Pipeline A-B'!$A$2:$A$132,0))</f>
        <v/>
      </c>
      <c r="H14" s="19">
        <f>INDEX('Pipeline A-B'!$Q$2:$Q$132,MATCH($B14,'Pipeline A-B'!$A$2:$A$132,0))</f>
        <v/>
      </c>
      <c r="I14" s="10">
        <f>INDEX('Pipeline A-B'!$K$2:$K$132,MATCH($B14,'Pipeline A-B'!$A$2:$A$132,0))</f>
        <v/>
      </c>
      <c r="J14" s="10">
        <f>INDEX('Pipeline A-B'!$L$2:$L$132,MATCH($B14,'Pipeline A-B'!$A$2:$A$132,0))</f>
        <v/>
      </c>
      <c r="K14" s="10">
        <f>INDEX('Pipeline A-B'!$T$2:$T$132,MATCH($B14,'Pipeline A-B'!$A$2:$A$132,0))</f>
        <v/>
      </c>
      <c r="L14" s="10">
        <f>INDEX('Pipeline A-B'!$R$2:$R$132,MATCH($B14,'Pipeline A-B'!$A$2:$A$132,0))</f>
        <v/>
      </c>
    </row>
    <row r="15">
      <c r="A15" s="4" t="n">
        <v>14</v>
      </c>
      <c r="B15" s="4" t="inlineStr">
        <is>
          <t>S014</t>
        </is>
      </c>
      <c r="C15" s="11">
        <f>INDEX('Pipeline A-B'!$B$2:$B$132,MATCH($B15,'Pipeline A-B'!$A$2:$A$132,0))</f>
        <v/>
      </c>
      <c r="D15" s="10">
        <f>INDEX('Pipeline A-B'!$D$2:$D$132,MATCH($B15,'Pipeline A-B'!$A$2:$A$132,0))</f>
        <v/>
      </c>
      <c r="E15" s="10">
        <f>INDEX('Pipeline A-B'!$E$2:$E$132,MATCH($B15,'Pipeline A-B'!$A$2:$A$132,0))</f>
        <v/>
      </c>
      <c r="F15" s="10">
        <f>INDEX('Pipeline A-B'!$M$2:$M$132,MATCH($B15,'Pipeline A-B'!$A$2:$A$132,0))</f>
        <v/>
      </c>
      <c r="G15" s="18">
        <f>INDEX('Pipeline A-B'!$P$2:$P$132,MATCH($B15,'Pipeline A-B'!$A$2:$A$132,0))</f>
        <v/>
      </c>
      <c r="H15" s="19">
        <f>INDEX('Pipeline A-B'!$Q$2:$Q$132,MATCH($B15,'Pipeline A-B'!$A$2:$A$132,0))</f>
        <v/>
      </c>
      <c r="I15" s="10">
        <f>INDEX('Pipeline A-B'!$K$2:$K$132,MATCH($B15,'Pipeline A-B'!$A$2:$A$132,0))</f>
        <v/>
      </c>
      <c r="J15" s="10">
        <f>INDEX('Pipeline A-B'!$L$2:$L$132,MATCH($B15,'Pipeline A-B'!$A$2:$A$132,0))</f>
        <v/>
      </c>
      <c r="K15" s="10">
        <f>INDEX('Pipeline A-B'!$T$2:$T$132,MATCH($B15,'Pipeline A-B'!$A$2:$A$132,0))</f>
        <v/>
      </c>
      <c r="L15" s="10">
        <f>INDEX('Pipeline A-B'!$R$2:$R$132,MATCH($B15,'Pipeline A-B'!$A$2:$A$132,0))</f>
        <v/>
      </c>
    </row>
    <row r="16">
      <c r="A16" s="4" t="n">
        <v>15</v>
      </c>
      <c r="B16" s="4" t="inlineStr">
        <is>
          <t>S015</t>
        </is>
      </c>
      <c r="C16" s="11">
        <f>INDEX('Pipeline A-B'!$B$2:$B$132,MATCH($B16,'Pipeline A-B'!$A$2:$A$132,0))</f>
        <v/>
      </c>
      <c r="D16" s="10">
        <f>INDEX('Pipeline A-B'!$D$2:$D$132,MATCH($B16,'Pipeline A-B'!$A$2:$A$132,0))</f>
        <v/>
      </c>
      <c r="E16" s="10">
        <f>INDEX('Pipeline A-B'!$E$2:$E$132,MATCH($B16,'Pipeline A-B'!$A$2:$A$132,0))</f>
        <v/>
      </c>
      <c r="F16" s="10">
        <f>INDEX('Pipeline A-B'!$M$2:$M$132,MATCH($B16,'Pipeline A-B'!$A$2:$A$132,0))</f>
        <v/>
      </c>
      <c r="G16" s="18">
        <f>INDEX('Pipeline A-B'!$P$2:$P$132,MATCH($B16,'Pipeline A-B'!$A$2:$A$132,0))</f>
        <v/>
      </c>
      <c r="H16" s="19">
        <f>INDEX('Pipeline A-B'!$Q$2:$Q$132,MATCH($B16,'Pipeline A-B'!$A$2:$A$132,0))</f>
        <v/>
      </c>
      <c r="I16" s="10">
        <f>INDEX('Pipeline A-B'!$K$2:$K$132,MATCH($B16,'Pipeline A-B'!$A$2:$A$132,0))</f>
        <v/>
      </c>
      <c r="J16" s="10">
        <f>INDEX('Pipeline A-B'!$L$2:$L$132,MATCH($B16,'Pipeline A-B'!$A$2:$A$132,0))</f>
        <v/>
      </c>
      <c r="K16" s="10">
        <f>INDEX('Pipeline A-B'!$T$2:$T$132,MATCH($B16,'Pipeline A-B'!$A$2:$A$132,0))</f>
        <v/>
      </c>
      <c r="L16" s="10">
        <f>INDEX('Pipeline A-B'!$R$2:$R$132,MATCH($B16,'Pipeline A-B'!$A$2:$A$132,0))</f>
        <v/>
      </c>
    </row>
    <row r="17">
      <c r="A17" s="4" t="n">
        <v>16</v>
      </c>
      <c r="B17" s="4" t="inlineStr">
        <is>
          <t>S016</t>
        </is>
      </c>
      <c r="C17" s="11">
        <f>INDEX('Pipeline A-B'!$B$2:$B$132,MATCH($B17,'Pipeline A-B'!$A$2:$A$132,0))</f>
        <v/>
      </c>
      <c r="D17" s="10">
        <f>INDEX('Pipeline A-B'!$D$2:$D$132,MATCH($B17,'Pipeline A-B'!$A$2:$A$132,0))</f>
        <v/>
      </c>
      <c r="E17" s="10">
        <f>INDEX('Pipeline A-B'!$E$2:$E$132,MATCH($B17,'Pipeline A-B'!$A$2:$A$132,0))</f>
        <v/>
      </c>
      <c r="F17" s="10">
        <f>INDEX('Pipeline A-B'!$M$2:$M$132,MATCH($B17,'Pipeline A-B'!$A$2:$A$132,0))</f>
        <v/>
      </c>
      <c r="G17" s="18">
        <f>INDEX('Pipeline A-B'!$P$2:$P$132,MATCH($B17,'Pipeline A-B'!$A$2:$A$132,0))</f>
        <v/>
      </c>
      <c r="H17" s="19">
        <f>INDEX('Pipeline A-B'!$Q$2:$Q$132,MATCH($B17,'Pipeline A-B'!$A$2:$A$132,0))</f>
        <v/>
      </c>
      <c r="I17" s="10">
        <f>INDEX('Pipeline A-B'!$K$2:$K$132,MATCH($B17,'Pipeline A-B'!$A$2:$A$132,0))</f>
        <v/>
      </c>
      <c r="J17" s="10">
        <f>INDEX('Pipeline A-B'!$L$2:$L$132,MATCH($B17,'Pipeline A-B'!$A$2:$A$132,0))</f>
        <v/>
      </c>
      <c r="K17" s="10">
        <f>INDEX('Pipeline A-B'!$T$2:$T$132,MATCH($B17,'Pipeline A-B'!$A$2:$A$132,0))</f>
        <v/>
      </c>
      <c r="L17" s="10">
        <f>INDEX('Pipeline A-B'!$R$2:$R$132,MATCH($B17,'Pipeline A-B'!$A$2:$A$132,0))</f>
        <v/>
      </c>
    </row>
    <row r="18">
      <c r="A18" s="4" t="n">
        <v>17</v>
      </c>
      <c r="B18" s="4" t="inlineStr">
        <is>
          <t>S017</t>
        </is>
      </c>
      <c r="C18" s="11">
        <f>INDEX('Pipeline A-B'!$B$2:$B$132,MATCH($B18,'Pipeline A-B'!$A$2:$A$132,0))</f>
        <v/>
      </c>
      <c r="D18" s="10">
        <f>INDEX('Pipeline A-B'!$D$2:$D$132,MATCH($B18,'Pipeline A-B'!$A$2:$A$132,0))</f>
        <v/>
      </c>
      <c r="E18" s="10">
        <f>INDEX('Pipeline A-B'!$E$2:$E$132,MATCH($B18,'Pipeline A-B'!$A$2:$A$132,0))</f>
        <v/>
      </c>
      <c r="F18" s="10">
        <f>INDEX('Pipeline A-B'!$M$2:$M$132,MATCH($B18,'Pipeline A-B'!$A$2:$A$132,0))</f>
        <v/>
      </c>
      <c r="G18" s="18">
        <f>INDEX('Pipeline A-B'!$P$2:$P$132,MATCH($B18,'Pipeline A-B'!$A$2:$A$132,0))</f>
        <v/>
      </c>
      <c r="H18" s="19">
        <f>INDEX('Pipeline A-B'!$Q$2:$Q$132,MATCH($B18,'Pipeline A-B'!$A$2:$A$132,0))</f>
        <v/>
      </c>
      <c r="I18" s="10">
        <f>INDEX('Pipeline A-B'!$K$2:$K$132,MATCH($B18,'Pipeline A-B'!$A$2:$A$132,0))</f>
        <v/>
      </c>
      <c r="J18" s="10">
        <f>INDEX('Pipeline A-B'!$L$2:$L$132,MATCH($B18,'Pipeline A-B'!$A$2:$A$132,0))</f>
        <v/>
      </c>
      <c r="K18" s="10">
        <f>INDEX('Pipeline A-B'!$T$2:$T$132,MATCH($B18,'Pipeline A-B'!$A$2:$A$132,0))</f>
        <v/>
      </c>
      <c r="L18" s="10">
        <f>INDEX('Pipeline A-B'!$R$2:$R$132,MATCH($B18,'Pipeline A-B'!$A$2:$A$132,0))</f>
        <v/>
      </c>
    </row>
    <row r="19">
      <c r="A19" s="4" t="n">
        <v>18</v>
      </c>
      <c r="B19" s="4" t="inlineStr">
        <is>
          <t>S018</t>
        </is>
      </c>
      <c r="C19" s="11">
        <f>INDEX('Pipeline A-B'!$B$2:$B$132,MATCH($B19,'Pipeline A-B'!$A$2:$A$132,0))</f>
        <v/>
      </c>
      <c r="D19" s="10">
        <f>INDEX('Pipeline A-B'!$D$2:$D$132,MATCH($B19,'Pipeline A-B'!$A$2:$A$132,0))</f>
        <v/>
      </c>
      <c r="E19" s="10">
        <f>INDEX('Pipeline A-B'!$E$2:$E$132,MATCH($B19,'Pipeline A-B'!$A$2:$A$132,0))</f>
        <v/>
      </c>
      <c r="F19" s="10">
        <f>INDEX('Pipeline A-B'!$M$2:$M$132,MATCH($B19,'Pipeline A-B'!$A$2:$A$132,0))</f>
        <v/>
      </c>
      <c r="G19" s="18">
        <f>INDEX('Pipeline A-B'!$P$2:$P$132,MATCH($B19,'Pipeline A-B'!$A$2:$A$132,0))</f>
        <v/>
      </c>
      <c r="H19" s="19">
        <f>INDEX('Pipeline A-B'!$Q$2:$Q$132,MATCH($B19,'Pipeline A-B'!$A$2:$A$132,0))</f>
        <v/>
      </c>
      <c r="I19" s="10">
        <f>INDEX('Pipeline A-B'!$K$2:$K$132,MATCH($B19,'Pipeline A-B'!$A$2:$A$132,0))</f>
        <v/>
      </c>
      <c r="J19" s="10">
        <f>INDEX('Pipeline A-B'!$L$2:$L$132,MATCH($B19,'Pipeline A-B'!$A$2:$A$132,0))</f>
        <v/>
      </c>
      <c r="K19" s="10">
        <f>INDEX('Pipeline A-B'!$T$2:$T$132,MATCH($B19,'Pipeline A-B'!$A$2:$A$132,0))</f>
        <v/>
      </c>
      <c r="L19" s="10">
        <f>INDEX('Pipeline A-B'!$R$2:$R$132,MATCH($B19,'Pipeline A-B'!$A$2:$A$132,0))</f>
        <v/>
      </c>
    </row>
    <row r="20">
      <c r="A20" s="4" t="n">
        <v>19</v>
      </c>
      <c r="B20" s="4" t="inlineStr">
        <is>
          <t>S019</t>
        </is>
      </c>
      <c r="C20" s="11">
        <f>INDEX('Pipeline A-B'!$B$2:$B$132,MATCH($B20,'Pipeline A-B'!$A$2:$A$132,0))</f>
        <v/>
      </c>
      <c r="D20" s="10">
        <f>INDEX('Pipeline A-B'!$D$2:$D$132,MATCH($B20,'Pipeline A-B'!$A$2:$A$132,0))</f>
        <v/>
      </c>
      <c r="E20" s="10">
        <f>INDEX('Pipeline A-B'!$E$2:$E$132,MATCH($B20,'Pipeline A-B'!$A$2:$A$132,0))</f>
        <v/>
      </c>
      <c r="F20" s="10">
        <f>INDEX('Pipeline A-B'!$M$2:$M$132,MATCH($B20,'Pipeline A-B'!$A$2:$A$132,0))</f>
        <v/>
      </c>
      <c r="G20" s="18">
        <f>INDEX('Pipeline A-B'!$P$2:$P$132,MATCH($B20,'Pipeline A-B'!$A$2:$A$132,0))</f>
        <v/>
      </c>
      <c r="H20" s="19">
        <f>INDEX('Pipeline A-B'!$Q$2:$Q$132,MATCH($B20,'Pipeline A-B'!$A$2:$A$132,0))</f>
        <v/>
      </c>
      <c r="I20" s="10">
        <f>INDEX('Pipeline A-B'!$K$2:$K$132,MATCH($B20,'Pipeline A-B'!$A$2:$A$132,0))</f>
        <v/>
      </c>
      <c r="J20" s="10">
        <f>INDEX('Pipeline A-B'!$L$2:$L$132,MATCH($B20,'Pipeline A-B'!$A$2:$A$132,0))</f>
        <v/>
      </c>
      <c r="K20" s="10">
        <f>INDEX('Pipeline A-B'!$T$2:$T$132,MATCH($B20,'Pipeline A-B'!$A$2:$A$132,0))</f>
        <v/>
      </c>
      <c r="L20" s="10">
        <f>INDEX('Pipeline A-B'!$R$2:$R$132,MATCH($B20,'Pipeline A-B'!$A$2:$A$132,0))</f>
        <v/>
      </c>
    </row>
    <row r="21">
      <c r="A21" s="4" t="n">
        <v>20</v>
      </c>
      <c r="B21" s="4" t="inlineStr">
        <is>
          <t>S020</t>
        </is>
      </c>
      <c r="C21" s="11">
        <f>INDEX('Pipeline A-B'!$B$2:$B$132,MATCH($B21,'Pipeline A-B'!$A$2:$A$132,0))</f>
        <v/>
      </c>
      <c r="D21" s="10">
        <f>INDEX('Pipeline A-B'!$D$2:$D$132,MATCH($B21,'Pipeline A-B'!$A$2:$A$132,0))</f>
        <v/>
      </c>
      <c r="E21" s="10">
        <f>INDEX('Pipeline A-B'!$E$2:$E$132,MATCH($B21,'Pipeline A-B'!$A$2:$A$132,0))</f>
        <v/>
      </c>
      <c r="F21" s="10">
        <f>INDEX('Pipeline A-B'!$M$2:$M$132,MATCH($B21,'Pipeline A-B'!$A$2:$A$132,0))</f>
        <v/>
      </c>
      <c r="G21" s="18">
        <f>INDEX('Pipeline A-B'!$P$2:$P$132,MATCH($B21,'Pipeline A-B'!$A$2:$A$132,0))</f>
        <v/>
      </c>
      <c r="H21" s="19">
        <f>INDEX('Pipeline A-B'!$Q$2:$Q$132,MATCH($B21,'Pipeline A-B'!$A$2:$A$132,0))</f>
        <v/>
      </c>
      <c r="I21" s="10">
        <f>INDEX('Pipeline A-B'!$K$2:$K$132,MATCH($B21,'Pipeline A-B'!$A$2:$A$132,0))</f>
        <v/>
      </c>
      <c r="J21" s="10">
        <f>INDEX('Pipeline A-B'!$L$2:$L$132,MATCH($B21,'Pipeline A-B'!$A$2:$A$132,0))</f>
        <v/>
      </c>
      <c r="K21" s="10">
        <f>INDEX('Pipeline A-B'!$T$2:$T$132,MATCH($B21,'Pipeline A-B'!$A$2:$A$132,0))</f>
        <v/>
      </c>
      <c r="L21" s="10">
        <f>INDEX('Pipeline A-B'!$R$2:$R$132,MATCH($B21,'Pipeline A-B'!$A$2:$A$132,0))</f>
        <v/>
      </c>
    </row>
    <row r="22">
      <c r="A22" s="4" t="n">
        <v>21</v>
      </c>
      <c r="B22" s="4" t="inlineStr">
        <is>
          <t>S021</t>
        </is>
      </c>
      <c r="C22" s="11">
        <f>INDEX('Pipeline A-B'!$B$2:$B$132,MATCH($B22,'Pipeline A-B'!$A$2:$A$132,0))</f>
        <v/>
      </c>
      <c r="D22" s="10">
        <f>INDEX('Pipeline A-B'!$D$2:$D$132,MATCH($B22,'Pipeline A-B'!$A$2:$A$132,0))</f>
        <v/>
      </c>
      <c r="E22" s="10">
        <f>INDEX('Pipeline A-B'!$E$2:$E$132,MATCH($B22,'Pipeline A-B'!$A$2:$A$132,0))</f>
        <v/>
      </c>
      <c r="F22" s="10">
        <f>INDEX('Pipeline A-B'!$M$2:$M$132,MATCH($B22,'Pipeline A-B'!$A$2:$A$132,0))</f>
        <v/>
      </c>
      <c r="G22" s="18">
        <f>INDEX('Pipeline A-B'!$P$2:$P$132,MATCH($B22,'Pipeline A-B'!$A$2:$A$132,0))</f>
        <v/>
      </c>
      <c r="H22" s="19">
        <f>INDEX('Pipeline A-B'!$Q$2:$Q$132,MATCH($B22,'Pipeline A-B'!$A$2:$A$132,0))</f>
        <v/>
      </c>
      <c r="I22" s="10">
        <f>INDEX('Pipeline A-B'!$K$2:$K$132,MATCH($B22,'Pipeline A-B'!$A$2:$A$132,0))</f>
        <v/>
      </c>
      <c r="J22" s="10">
        <f>INDEX('Pipeline A-B'!$L$2:$L$132,MATCH($B22,'Pipeline A-B'!$A$2:$A$132,0))</f>
        <v/>
      </c>
      <c r="K22" s="10">
        <f>INDEX('Pipeline A-B'!$T$2:$T$132,MATCH($B22,'Pipeline A-B'!$A$2:$A$132,0))</f>
        <v/>
      </c>
      <c r="L22" s="10">
        <f>INDEX('Pipeline A-B'!$R$2:$R$132,MATCH($B22,'Pipeline A-B'!$A$2:$A$132,0))</f>
        <v/>
      </c>
    </row>
    <row r="23">
      <c r="A23" s="4" t="n">
        <v>22</v>
      </c>
      <c r="B23" s="4" t="inlineStr">
        <is>
          <t>S022</t>
        </is>
      </c>
      <c r="C23" s="11">
        <f>INDEX('Pipeline A-B'!$B$2:$B$132,MATCH($B23,'Pipeline A-B'!$A$2:$A$132,0))</f>
        <v/>
      </c>
      <c r="D23" s="10">
        <f>INDEX('Pipeline A-B'!$D$2:$D$132,MATCH($B23,'Pipeline A-B'!$A$2:$A$132,0))</f>
        <v/>
      </c>
      <c r="E23" s="10">
        <f>INDEX('Pipeline A-B'!$E$2:$E$132,MATCH($B23,'Pipeline A-B'!$A$2:$A$132,0))</f>
        <v/>
      </c>
      <c r="F23" s="10">
        <f>INDEX('Pipeline A-B'!$M$2:$M$132,MATCH($B23,'Pipeline A-B'!$A$2:$A$132,0))</f>
        <v/>
      </c>
      <c r="G23" s="18">
        <f>INDEX('Pipeline A-B'!$P$2:$P$132,MATCH($B23,'Pipeline A-B'!$A$2:$A$132,0))</f>
        <v/>
      </c>
      <c r="H23" s="19">
        <f>INDEX('Pipeline A-B'!$Q$2:$Q$132,MATCH($B23,'Pipeline A-B'!$A$2:$A$132,0))</f>
        <v/>
      </c>
      <c r="I23" s="10">
        <f>INDEX('Pipeline A-B'!$K$2:$K$132,MATCH($B23,'Pipeline A-B'!$A$2:$A$132,0))</f>
        <v/>
      </c>
      <c r="J23" s="10">
        <f>INDEX('Pipeline A-B'!$L$2:$L$132,MATCH($B23,'Pipeline A-B'!$A$2:$A$132,0))</f>
        <v/>
      </c>
      <c r="K23" s="10">
        <f>INDEX('Pipeline A-B'!$T$2:$T$132,MATCH($B23,'Pipeline A-B'!$A$2:$A$132,0))</f>
        <v/>
      </c>
      <c r="L23" s="10">
        <f>INDEX('Pipeline A-B'!$R$2:$R$132,MATCH($B23,'Pipeline A-B'!$A$2:$A$132,0))</f>
        <v/>
      </c>
    </row>
    <row r="24">
      <c r="A24" s="4" t="n">
        <v>23</v>
      </c>
      <c r="B24" s="4" t="inlineStr">
        <is>
          <t>S023</t>
        </is>
      </c>
      <c r="C24" s="11">
        <f>INDEX('Pipeline A-B'!$B$2:$B$132,MATCH($B24,'Pipeline A-B'!$A$2:$A$132,0))</f>
        <v/>
      </c>
      <c r="D24" s="10">
        <f>INDEX('Pipeline A-B'!$D$2:$D$132,MATCH($B24,'Pipeline A-B'!$A$2:$A$132,0))</f>
        <v/>
      </c>
      <c r="E24" s="10">
        <f>INDEX('Pipeline A-B'!$E$2:$E$132,MATCH($B24,'Pipeline A-B'!$A$2:$A$132,0))</f>
        <v/>
      </c>
      <c r="F24" s="10">
        <f>INDEX('Pipeline A-B'!$M$2:$M$132,MATCH($B24,'Pipeline A-B'!$A$2:$A$132,0))</f>
        <v/>
      </c>
      <c r="G24" s="18">
        <f>INDEX('Pipeline A-B'!$P$2:$P$132,MATCH($B24,'Pipeline A-B'!$A$2:$A$132,0))</f>
        <v/>
      </c>
      <c r="H24" s="19">
        <f>INDEX('Pipeline A-B'!$Q$2:$Q$132,MATCH($B24,'Pipeline A-B'!$A$2:$A$132,0))</f>
        <v/>
      </c>
      <c r="I24" s="10">
        <f>INDEX('Pipeline A-B'!$K$2:$K$132,MATCH($B24,'Pipeline A-B'!$A$2:$A$132,0))</f>
        <v/>
      </c>
      <c r="J24" s="10">
        <f>INDEX('Pipeline A-B'!$L$2:$L$132,MATCH($B24,'Pipeline A-B'!$A$2:$A$132,0))</f>
        <v/>
      </c>
      <c r="K24" s="10">
        <f>INDEX('Pipeline A-B'!$T$2:$T$132,MATCH($B24,'Pipeline A-B'!$A$2:$A$132,0))</f>
        <v/>
      </c>
      <c r="L24" s="10">
        <f>INDEX('Pipeline A-B'!$R$2:$R$132,MATCH($B24,'Pipeline A-B'!$A$2:$A$132,0))</f>
        <v/>
      </c>
    </row>
    <row r="25">
      <c r="A25" s="4" t="n">
        <v>24</v>
      </c>
      <c r="B25" s="4" t="inlineStr">
        <is>
          <t>S024</t>
        </is>
      </c>
      <c r="C25" s="11">
        <f>INDEX('Pipeline A-B'!$B$2:$B$132,MATCH($B25,'Pipeline A-B'!$A$2:$A$132,0))</f>
        <v/>
      </c>
      <c r="D25" s="10">
        <f>INDEX('Pipeline A-B'!$D$2:$D$132,MATCH($B25,'Pipeline A-B'!$A$2:$A$132,0))</f>
        <v/>
      </c>
      <c r="E25" s="10">
        <f>INDEX('Pipeline A-B'!$E$2:$E$132,MATCH($B25,'Pipeline A-B'!$A$2:$A$132,0))</f>
        <v/>
      </c>
      <c r="F25" s="10">
        <f>INDEX('Pipeline A-B'!$M$2:$M$132,MATCH($B25,'Pipeline A-B'!$A$2:$A$132,0))</f>
        <v/>
      </c>
      <c r="G25" s="18">
        <f>INDEX('Pipeline A-B'!$P$2:$P$132,MATCH($B25,'Pipeline A-B'!$A$2:$A$132,0))</f>
        <v/>
      </c>
      <c r="H25" s="19">
        <f>INDEX('Pipeline A-B'!$Q$2:$Q$132,MATCH($B25,'Pipeline A-B'!$A$2:$A$132,0))</f>
        <v/>
      </c>
      <c r="I25" s="10">
        <f>INDEX('Pipeline A-B'!$K$2:$K$132,MATCH($B25,'Pipeline A-B'!$A$2:$A$132,0))</f>
        <v/>
      </c>
      <c r="J25" s="10">
        <f>INDEX('Pipeline A-B'!$L$2:$L$132,MATCH($B25,'Pipeline A-B'!$A$2:$A$132,0))</f>
        <v/>
      </c>
      <c r="K25" s="10">
        <f>INDEX('Pipeline A-B'!$T$2:$T$132,MATCH($B25,'Pipeline A-B'!$A$2:$A$132,0))</f>
        <v/>
      </c>
      <c r="L25" s="10">
        <f>INDEX('Pipeline A-B'!$R$2:$R$132,MATCH($B25,'Pipeline A-B'!$A$2:$A$132,0))</f>
        <v/>
      </c>
    </row>
    <row r="26">
      <c r="A26" s="4" t="n">
        <v>25</v>
      </c>
      <c r="B26" s="4" t="inlineStr">
        <is>
          <t>S025</t>
        </is>
      </c>
      <c r="C26" s="11">
        <f>INDEX('Pipeline A-B'!$B$2:$B$132,MATCH($B26,'Pipeline A-B'!$A$2:$A$132,0))</f>
        <v/>
      </c>
      <c r="D26" s="10">
        <f>INDEX('Pipeline A-B'!$D$2:$D$132,MATCH($B26,'Pipeline A-B'!$A$2:$A$132,0))</f>
        <v/>
      </c>
      <c r="E26" s="10">
        <f>INDEX('Pipeline A-B'!$E$2:$E$132,MATCH($B26,'Pipeline A-B'!$A$2:$A$132,0))</f>
        <v/>
      </c>
      <c r="F26" s="10">
        <f>INDEX('Pipeline A-B'!$M$2:$M$132,MATCH($B26,'Pipeline A-B'!$A$2:$A$132,0))</f>
        <v/>
      </c>
      <c r="G26" s="18">
        <f>INDEX('Pipeline A-B'!$P$2:$P$132,MATCH($B26,'Pipeline A-B'!$A$2:$A$132,0))</f>
        <v/>
      </c>
      <c r="H26" s="19">
        <f>INDEX('Pipeline A-B'!$Q$2:$Q$132,MATCH($B26,'Pipeline A-B'!$A$2:$A$132,0))</f>
        <v/>
      </c>
      <c r="I26" s="10">
        <f>INDEX('Pipeline A-B'!$K$2:$K$132,MATCH($B26,'Pipeline A-B'!$A$2:$A$132,0))</f>
        <v/>
      </c>
      <c r="J26" s="10">
        <f>INDEX('Pipeline A-B'!$L$2:$L$132,MATCH($B26,'Pipeline A-B'!$A$2:$A$132,0))</f>
        <v/>
      </c>
      <c r="K26" s="10">
        <f>INDEX('Pipeline A-B'!$T$2:$T$132,MATCH($B26,'Pipeline A-B'!$A$2:$A$132,0))</f>
        <v/>
      </c>
      <c r="L26" s="10">
        <f>INDEX('Pipeline A-B'!$R$2:$R$132,MATCH($B26,'Pipeline A-B'!$A$2:$A$132,0))</f>
        <v/>
      </c>
    </row>
    <row r="27">
      <c r="A27" s="4" t="n">
        <v>26</v>
      </c>
      <c r="B27" s="4" t="inlineStr">
        <is>
          <t>S026</t>
        </is>
      </c>
      <c r="C27" s="11">
        <f>INDEX('Pipeline A-B'!$B$2:$B$132,MATCH($B27,'Pipeline A-B'!$A$2:$A$132,0))</f>
        <v/>
      </c>
      <c r="D27" s="10">
        <f>INDEX('Pipeline A-B'!$D$2:$D$132,MATCH($B27,'Pipeline A-B'!$A$2:$A$132,0))</f>
        <v/>
      </c>
      <c r="E27" s="10">
        <f>INDEX('Pipeline A-B'!$E$2:$E$132,MATCH($B27,'Pipeline A-B'!$A$2:$A$132,0))</f>
        <v/>
      </c>
      <c r="F27" s="10">
        <f>INDEX('Pipeline A-B'!$M$2:$M$132,MATCH($B27,'Pipeline A-B'!$A$2:$A$132,0))</f>
        <v/>
      </c>
      <c r="G27" s="18">
        <f>INDEX('Pipeline A-B'!$P$2:$P$132,MATCH($B27,'Pipeline A-B'!$A$2:$A$132,0))</f>
        <v/>
      </c>
      <c r="H27" s="19">
        <f>INDEX('Pipeline A-B'!$Q$2:$Q$132,MATCH($B27,'Pipeline A-B'!$A$2:$A$132,0))</f>
        <v/>
      </c>
      <c r="I27" s="10">
        <f>INDEX('Pipeline A-B'!$K$2:$K$132,MATCH($B27,'Pipeline A-B'!$A$2:$A$132,0))</f>
        <v/>
      </c>
      <c r="J27" s="10">
        <f>INDEX('Pipeline A-B'!$L$2:$L$132,MATCH($B27,'Pipeline A-B'!$A$2:$A$132,0))</f>
        <v/>
      </c>
      <c r="K27" s="10">
        <f>INDEX('Pipeline A-B'!$T$2:$T$132,MATCH($B27,'Pipeline A-B'!$A$2:$A$132,0))</f>
        <v/>
      </c>
      <c r="L27" s="10">
        <f>INDEX('Pipeline A-B'!$R$2:$R$132,MATCH($B27,'Pipeline A-B'!$A$2:$A$132,0))</f>
        <v/>
      </c>
    </row>
    <row r="28">
      <c r="A28" s="4" t="n">
        <v>27</v>
      </c>
      <c r="B28" s="4" t="inlineStr">
        <is>
          <t>S027</t>
        </is>
      </c>
      <c r="C28" s="11">
        <f>INDEX('Pipeline A-B'!$B$2:$B$132,MATCH($B28,'Pipeline A-B'!$A$2:$A$132,0))</f>
        <v/>
      </c>
      <c r="D28" s="10">
        <f>INDEX('Pipeline A-B'!$D$2:$D$132,MATCH($B28,'Pipeline A-B'!$A$2:$A$132,0))</f>
        <v/>
      </c>
      <c r="E28" s="10">
        <f>INDEX('Pipeline A-B'!$E$2:$E$132,MATCH($B28,'Pipeline A-B'!$A$2:$A$132,0))</f>
        <v/>
      </c>
      <c r="F28" s="10">
        <f>INDEX('Pipeline A-B'!$M$2:$M$132,MATCH($B28,'Pipeline A-B'!$A$2:$A$132,0))</f>
        <v/>
      </c>
      <c r="G28" s="18">
        <f>INDEX('Pipeline A-B'!$P$2:$P$132,MATCH($B28,'Pipeline A-B'!$A$2:$A$132,0))</f>
        <v/>
      </c>
      <c r="H28" s="19">
        <f>INDEX('Pipeline A-B'!$Q$2:$Q$132,MATCH($B28,'Pipeline A-B'!$A$2:$A$132,0))</f>
        <v/>
      </c>
      <c r="I28" s="10">
        <f>INDEX('Pipeline A-B'!$K$2:$K$132,MATCH($B28,'Pipeline A-B'!$A$2:$A$132,0))</f>
        <v/>
      </c>
      <c r="J28" s="10">
        <f>INDEX('Pipeline A-B'!$L$2:$L$132,MATCH($B28,'Pipeline A-B'!$A$2:$A$132,0))</f>
        <v/>
      </c>
      <c r="K28" s="10">
        <f>INDEX('Pipeline A-B'!$T$2:$T$132,MATCH($B28,'Pipeline A-B'!$A$2:$A$132,0))</f>
        <v/>
      </c>
      <c r="L28" s="10">
        <f>INDEX('Pipeline A-B'!$R$2:$R$132,MATCH($B28,'Pipeline A-B'!$A$2:$A$132,0))</f>
        <v/>
      </c>
    </row>
    <row r="29">
      <c r="A29" s="4" t="n">
        <v>28</v>
      </c>
      <c r="B29" s="4" t="inlineStr">
        <is>
          <t>S028</t>
        </is>
      </c>
      <c r="C29" s="11">
        <f>INDEX('Pipeline A-B'!$B$2:$B$132,MATCH($B29,'Pipeline A-B'!$A$2:$A$132,0))</f>
        <v/>
      </c>
      <c r="D29" s="10">
        <f>INDEX('Pipeline A-B'!$D$2:$D$132,MATCH($B29,'Pipeline A-B'!$A$2:$A$132,0))</f>
        <v/>
      </c>
      <c r="E29" s="10">
        <f>INDEX('Pipeline A-B'!$E$2:$E$132,MATCH($B29,'Pipeline A-B'!$A$2:$A$132,0))</f>
        <v/>
      </c>
      <c r="F29" s="10">
        <f>INDEX('Pipeline A-B'!$M$2:$M$132,MATCH($B29,'Pipeline A-B'!$A$2:$A$132,0))</f>
        <v/>
      </c>
      <c r="G29" s="18">
        <f>INDEX('Pipeline A-B'!$P$2:$P$132,MATCH($B29,'Pipeline A-B'!$A$2:$A$132,0))</f>
        <v/>
      </c>
      <c r="H29" s="19">
        <f>INDEX('Pipeline A-B'!$Q$2:$Q$132,MATCH($B29,'Pipeline A-B'!$A$2:$A$132,0))</f>
        <v/>
      </c>
      <c r="I29" s="10">
        <f>INDEX('Pipeline A-B'!$K$2:$K$132,MATCH($B29,'Pipeline A-B'!$A$2:$A$132,0))</f>
        <v/>
      </c>
      <c r="J29" s="10">
        <f>INDEX('Pipeline A-B'!$L$2:$L$132,MATCH($B29,'Pipeline A-B'!$A$2:$A$132,0))</f>
        <v/>
      </c>
      <c r="K29" s="10">
        <f>INDEX('Pipeline A-B'!$T$2:$T$132,MATCH($B29,'Pipeline A-B'!$A$2:$A$132,0))</f>
        <v/>
      </c>
      <c r="L29" s="10">
        <f>INDEX('Pipeline A-B'!$R$2:$R$132,MATCH($B29,'Pipeline A-B'!$A$2:$A$132,0))</f>
        <v/>
      </c>
    </row>
    <row r="30">
      <c r="A30" s="4" t="n">
        <v>29</v>
      </c>
      <c r="B30" s="4" t="inlineStr">
        <is>
          <t>S029</t>
        </is>
      </c>
      <c r="C30" s="11">
        <f>INDEX('Pipeline A-B'!$B$2:$B$132,MATCH($B30,'Pipeline A-B'!$A$2:$A$132,0))</f>
        <v/>
      </c>
      <c r="D30" s="10">
        <f>INDEX('Pipeline A-B'!$D$2:$D$132,MATCH($B30,'Pipeline A-B'!$A$2:$A$132,0))</f>
        <v/>
      </c>
      <c r="E30" s="10">
        <f>INDEX('Pipeline A-B'!$E$2:$E$132,MATCH($B30,'Pipeline A-B'!$A$2:$A$132,0))</f>
        <v/>
      </c>
      <c r="F30" s="10">
        <f>INDEX('Pipeline A-B'!$M$2:$M$132,MATCH($B30,'Pipeline A-B'!$A$2:$A$132,0))</f>
        <v/>
      </c>
      <c r="G30" s="18">
        <f>INDEX('Pipeline A-B'!$P$2:$P$132,MATCH($B30,'Pipeline A-B'!$A$2:$A$132,0))</f>
        <v/>
      </c>
      <c r="H30" s="19">
        <f>INDEX('Pipeline A-B'!$Q$2:$Q$132,MATCH($B30,'Pipeline A-B'!$A$2:$A$132,0))</f>
        <v/>
      </c>
      <c r="I30" s="10">
        <f>INDEX('Pipeline A-B'!$K$2:$K$132,MATCH($B30,'Pipeline A-B'!$A$2:$A$132,0))</f>
        <v/>
      </c>
      <c r="J30" s="10">
        <f>INDEX('Pipeline A-B'!$L$2:$L$132,MATCH($B30,'Pipeline A-B'!$A$2:$A$132,0))</f>
        <v/>
      </c>
      <c r="K30" s="10">
        <f>INDEX('Pipeline A-B'!$T$2:$T$132,MATCH($B30,'Pipeline A-B'!$A$2:$A$132,0))</f>
        <v/>
      </c>
      <c r="L30" s="10">
        <f>INDEX('Pipeline A-B'!$R$2:$R$132,MATCH($B30,'Pipeline A-B'!$A$2:$A$132,0))</f>
        <v/>
      </c>
    </row>
    <row r="31">
      <c r="A31" s="4" t="n">
        <v>30</v>
      </c>
      <c r="B31" s="4" t="inlineStr">
        <is>
          <t>S030</t>
        </is>
      </c>
      <c r="C31" s="11">
        <f>INDEX('Pipeline A-B'!$B$2:$B$132,MATCH($B31,'Pipeline A-B'!$A$2:$A$132,0))</f>
        <v/>
      </c>
      <c r="D31" s="10">
        <f>INDEX('Pipeline A-B'!$D$2:$D$132,MATCH($B31,'Pipeline A-B'!$A$2:$A$132,0))</f>
        <v/>
      </c>
      <c r="E31" s="10">
        <f>INDEX('Pipeline A-B'!$E$2:$E$132,MATCH($B31,'Pipeline A-B'!$A$2:$A$132,0))</f>
        <v/>
      </c>
      <c r="F31" s="10">
        <f>INDEX('Pipeline A-B'!$M$2:$M$132,MATCH($B31,'Pipeline A-B'!$A$2:$A$132,0))</f>
        <v/>
      </c>
      <c r="G31" s="18">
        <f>INDEX('Pipeline A-B'!$P$2:$P$132,MATCH($B31,'Pipeline A-B'!$A$2:$A$132,0))</f>
        <v/>
      </c>
      <c r="H31" s="19">
        <f>INDEX('Pipeline A-B'!$Q$2:$Q$132,MATCH($B31,'Pipeline A-B'!$A$2:$A$132,0))</f>
        <v/>
      </c>
      <c r="I31" s="10">
        <f>INDEX('Pipeline A-B'!$K$2:$K$132,MATCH($B31,'Pipeline A-B'!$A$2:$A$132,0))</f>
        <v/>
      </c>
      <c r="J31" s="10">
        <f>INDEX('Pipeline A-B'!$L$2:$L$132,MATCH($B31,'Pipeline A-B'!$A$2:$A$132,0))</f>
        <v/>
      </c>
      <c r="K31" s="10">
        <f>INDEX('Pipeline A-B'!$T$2:$T$132,MATCH($B31,'Pipeline A-B'!$A$2:$A$132,0))</f>
        <v/>
      </c>
      <c r="L31" s="10">
        <f>INDEX('Pipeline A-B'!$R$2:$R$132,MATCH($B31,'Pipeline A-B'!$A$2:$A$132,0))</f>
        <v/>
      </c>
    </row>
    <row r="32">
      <c r="A32" s="4" t="n">
        <v>31</v>
      </c>
      <c r="B32" s="4" t="inlineStr">
        <is>
          <t>S031</t>
        </is>
      </c>
      <c r="C32" s="11">
        <f>INDEX('Pipeline A-B'!$B$2:$B$132,MATCH($B32,'Pipeline A-B'!$A$2:$A$132,0))</f>
        <v/>
      </c>
      <c r="D32" s="10">
        <f>INDEX('Pipeline A-B'!$D$2:$D$132,MATCH($B32,'Pipeline A-B'!$A$2:$A$132,0))</f>
        <v/>
      </c>
      <c r="E32" s="10">
        <f>INDEX('Pipeline A-B'!$E$2:$E$132,MATCH($B32,'Pipeline A-B'!$A$2:$A$132,0))</f>
        <v/>
      </c>
      <c r="F32" s="10">
        <f>INDEX('Pipeline A-B'!$M$2:$M$132,MATCH($B32,'Pipeline A-B'!$A$2:$A$132,0))</f>
        <v/>
      </c>
      <c r="G32" s="18">
        <f>INDEX('Pipeline A-B'!$P$2:$P$132,MATCH($B32,'Pipeline A-B'!$A$2:$A$132,0))</f>
        <v/>
      </c>
      <c r="H32" s="19">
        <f>INDEX('Pipeline A-B'!$Q$2:$Q$132,MATCH($B32,'Pipeline A-B'!$A$2:$A$132,0))</f>
        <v/>
      </c>
      <c r="I32" s="10">
        <f>INDEX('Pipeline A-B'!$K$2:$K$132,MATCH($B32,'Pipeline A-B'!$A$2:$A$132,0))</f>
        <v/>
      </c>
      <c r="J32" s="10">
        <f>INDEX('Pipeline A-B'!$L$2:$L$132,MATCH($B32,'Pipeline A-B'!$A$2:$A$132,0))</f>
        <v/>
      </c>
      <c r="K32" s="10">
        <f>INDEX('Pipeline A-B'!$T$2:$T$132,MATCH($B32,'Pipeline A-B'!$A$2:$A$132,0))</f>
        <v/>
      </c>
      <c r="L32" s="10">
        <f>INDEX('Pipeline A-B'!$R$2:$R$132,MATCH($B32,'Pipeline A-B'!$A$2:$A$132,0))</f>
        <v/>
      </c>
    </row>
    <row r="33">
      <c r="A33" s="4" t="n">
        <v>32</v>
      </c>
      <c r="B33" s="4" t="inlineStr">
        <is>
          <t>S032</t>
        </is>
      </c>
      <c r="C33" s="11">
        <f>INDEX('Pipeline A-B'!$B$2:$B$132,MATCH($B33,'Pipeline A-B'!$A$2:$A$132,0))</f>
        <v/>
      </c>
      <c r="D33" s="10">
        <f>INDEX('Pipeline A-B'!$D$2:$D$132,MATCH($B33,'Pipeline A-B'!$A$2:$A$132,0))</f>
        <v/>
      </c>
      <c r="E33" s="10">
        <f>INDEX('Pipeline A-B'!$E$2:$E$132,MATCH($B33,'Pipeline A-B'!$A$2:$A$132,0))</f>
        <v/>
      </c>
      <c r="F33" s="10">
        <f>INDEX('Pipeline A-B'!$M$2:$M$132,MATCH($B33,'Pipeline A-B'!$A$2:$A$132,0))</f>
        <v/>
      </c>
      <c r="G33" s="18">
        <f>INDEX('Pipeline A-B'!$P$2:$P$132,MATCH($B33,'Pipeline A-B'!$A$2:$A$132,0))</f>
        <v/>
      </c>
      <c r="H33" s="19">
        <f>INDEX('Pipeline A-B'!$Q$2:$Q$132,MATCH($B33,'Pipeline A-B'!$A$2:$A$132,0))</f>
        <v/>
      </c>
      <c r="I33" s="10">
        <f>INDEX('Pipeline A-B'!$K$2:$K$132,MATCH($B33,'Pipeline A-B'!$A$2:$A$132,0))</f>
        <v/>
      </c>
      <c r="J33" s="10">
        <f>INDEX('Pipeline A-B'!$L$2:$L$132,MATCH($B33,'Pipeline A-B'!$A$2:$A$132,0))</f>
        <v/>
      </c>
      <c r="K33" s="10">
        <f>INDEX('Pipeline A-B'!$T$2:$T$132,MATCH($B33,'Pipeline A-B'!$A$2:$A$132,0))</f>
        <v/>
      </c>
      <c r="L33" s="10">
        <f>INDEX('Pipeline A-B'!$R$2:$R$132,MATCH($B33,'Pipeline A-B'!$A$2:$A$132,0))</f>
        <v/>
      </c>
    </row>
    <row r="34">
      <c r="A34" s="4" t="n">
        <v>33</v>
      </c>
      <c r="B34" s="4" t="inlineStr">
        <is>
          <t>S033</t>
        </is>
      </c>
      <c r="C34" s="11">
        <f>INDEX('Pipeline A-B'!$B$2:$B$132,MATCH($B34,'Pipeline A-B'!$A$2:$A$132,0))</f>
        <v/>
      </c>
      <c r="D34" s="10">
        <f>INDEX('Pipeline A-B'!$D$2:$D$132,MATCH($B34,'Pipeline A-B'!$A$2:$A$132,0))</f>
        <v/>
      </c>
      <c r="E34" s="10">
        <f>INDEX('Pipeline A-B'!$E$2:$E$132,MATCH($B34,'Pipeline A-B'!$A$2:$A$132,0))</f>
        <v/>
      </c>
      <c r="F34" s="10">
        <f>INDEX('Pipeline A-B'!$M$2:$M$132,MATCH($B34,'Pipeline A-B'!$A$2:$A$132,0))</f>
        <v/>
      </c>
      <c r="G34" s="18">
        <f>INDEX('Pipeline A-B'!$P$2:$P$132,MATCH($B34,'Pipeline A-B'!$A$2:$A$132,0))</f>
        <v/>
      </c>
      <c r="H34" s="19">
        <f>INDEX('Pipeline A-B'!$Q$2:$Q$132,MATCH($B34,'Pipeline A-B'!$A$2:$A$132,0))</f>
        <v/>
      </c>
      <c r="I34" s="10">
        <f>INDEX('Pipeline A-B'!$K$2:$K$132,MATCH($B34,'Pipeline A-B'!$A$2:$A$132,0))</f>
        <v/>
      </c>
      <c r="J34" s="10">
        <f>INDEX('Pipeline A-B'!$L$2:$L$132,MATCH($B34,'Pipeline A-B'!$A$2:$A$132,0))</f>
        <v/>
      </c>
      <c r="K34" s="10">
        <f>INDEX('Pipeline A-B'!$T$2:$T$132,MATCH($B34,'Pipeline A-B'!$A$2:$A$132,0))</f>
        <v/>
      </c>
      <c r="L34" s="10">
        <f>INDEX('Pipeline A-B'!$R$2:$R$132,MATCH($B34,'Pipeline A-B'!$A$2:$A$132,0))</f>
        <v/>
      </c>
    </row>
    <row r="35">
      <c r="A35" s="4" t="n">
        <v>34</v>
      </c>
      <c r="B35" s="4" t="inlineStr">
        <is>
          <t>S034</t>
        </is>
      </c>
      <c r="C35" s="11">
        <f>INDEX('Pipeline A-B'!$B$2:$B$132,MATCH($B35,'Pipeline A-B'!$A$2:$A$132,0))</f>
        <v/>
      </c>
      <c r="D35" s="10">
        <f>INDEX('Pipeline A-B'!$D$2:$D$132,MATCH($B35,'Pipeline A-B'!$A$2:$A$132,0))</f>
        <v/>
      </c>
      <c r="E35" s="10">
        <f>INDEX('Pipeline A-B'!$E$2:$E$132,MATCH($B35,'Pipeline A-B'!$A$2:$A$132,0))</f>
        <v/>
      </c>
      <c r="F35" s="10">
        <f>INDEX('Pipeline A-B'!$M$2:$M$132,MATCH($B35,'Pipeline A-B'!$A$2:$A$132,0))</f>
        <v/>
      </c>
      <c r="G35" s="18">
        <f>INDEX('Pipeline A-B'!$P$2:$P$132,MATCH($B35,'Pipeline A-B'!$A$2:$A$132,0))</f>
        <v/>
      </c>
      <c r="H35" s="19">
        <f>INDEX('Pipeline A-B'!$Q$2:$Q$132,MATCH($B35,'Pipeline A-B'!$A$2:$A$132,0))</f>
        <v/>
      </c>
      <c r="I35" s="10">
        <f>INDEX('Pipeline A-B'!$K$2:$K$132,MATCH($B35,'Pipeline A-B'!$A$2:$A$132,0))</f>
        <v/>
      </c>
      <c r="J35" s="10">
        <f>INDEX('Pipeline A-B'!$L$2:$L$132,MATCH($B35,'Pipeline A-B'!$A$2:$A$132,0))</f>
        <v/>
      </c>
      <c r="K35" s="10">
        <f>INDEX('Pipeline A-B'!$T$2:$T$132,MATCH($B35,'Pipeline A-B'!$A$2:$A$132,0))</f>
        <v/>
      </c>
      <c r="L35" s="10">
        <f>INDEX('Pipeline A-B'!$R$2:$R$132,MATCH($B35,'Pipeline A-B'!$A$2:$A$132,0))</f>
        <v/>
      </c>
    </row>
    <row r="36">
      <c r="A36" s="4" t="n">
        <v>35</v>
      </c>
      <c r="B36" s="4" t="inlineStr">
        <is>
          <t>S035</t>
        </is>
      </c>
      <c r="C36" s="11">
        <f>INDEX('Pipeline A-B'!$B$2:$B$132,MATCH($B36,'Pipeline A-B'!$A$2:$A$132,0))</f>
        <v/>
      </c>
      <c r="D36" s="10">
        <f>INDEX('Pipeline A-B'!$D$2:$D$132,MATCH($B36,'Pipeline A-B'!$A$2:$A$132,0))</f>
        <v/>
      </c>
      <c r="E36" s="10">
        <f>INDEX('Pipeline A-B'!$E$2:$E$132,MATCH($B36,'Pipeline A-B'!$A$2:$A$132,0))</f>
        <v/>
      </c>
      <c r="F36" s="10">
        <f>INDEX('Pipeline A-B'!$M$2:$M$132,MATCH($B36,'Pipeline A-B'!$A$2:$A$132,0))</f>
        <v/>
      </c>
      <c r="G36" s="18">
        <f>INDEX('Pipeline A-B'!$P$2:$P$132,MATCH($B36,'Pipeline A-B'!$A$2:$A$132,0))</f>
        <v/>
      </c>
      <c r="H36" s="19">
        <f>INDEX('Pipeline A-B'!$Q$2:$Q$132,MATCH($B36,'Pipeline A-B'!$A$2:$A$132,0))</f>
        <v/>
      </c>
      <c r="I36" s="10">
        <f>INDEX('Pipeline A-B'!$K$2:$K$132,MATCH($B36,'Pipeline A-B'!$A$2:$A$132,0))</f>
        <v/>
      </c>
      <c r="J36" s="10">
        <f>INDEX('Pipeline A-B'!$L$2:$L$132,MATCH($B36,'Pipeline A-B'!$A$2:$A$132,0))</f>
        <v/>
      </c>
      <c r="K36" s="10">
        <f>INDEX('Pipeline A-B'!$T$2:$T$132,MATCH($B36,'Pipeline A-B'!$A$2:$A$132,0))</f>
        <v/>
      </c>
      <c r="L36" s="10">
        <f>INDEX('Pipeline A-B'!$R$2:$R$132,MATCH($B36,'Pipeline A-B'!$A$2:$A$132,0))</f>
        <v/>
      </c>
    </row>
    <row r="37">
      <c r="A37" s="4" t="n">
        <v>36</v>
      </c>
      <c r="B37" s="4" t="inlineStr">
        <is>
          <t>S036</t>
        </is>
      </c>
      <c r="C37" s="11">
        <f>INDEX('Pipeline A-B'!$B$2:$B$132,MATCH($B37,'Pipeline A-B'!$A$2:$A$132,0))</f>
        <v/>
      </c>
      <c r="D37" s="10">
        <f>INDEX('Pipeline A-B'!$D$2:$D$132,MATCH($B37,'Pipeline A-B'!$A$2:$A$132,0))</f>
        <v/>
      </c>
      <c r="E37" s="10">
        <f>INDEX('Pipeline A-B'!$E$2:$E$132,MATCH($B37,'Pipeline A-B'!$A$2:$A$132,0))</f>
        <v/>
      </c>
      <c r="F37" s="10">
        <f>INDEX('Pipeline A-B'!$M$2:$M$132,MATCH($B37,'Pipeline A-B'!$A$2:$A$132,0))</f>
        <v/>
      </c>
      <c r="G37" s="18">
        <f>INDEX('Pipeline A-B'!$P$2:$P$132,MATCH($B37,'Pipeline A-B'!$A$2:$A$132,0))</f>
        <v/>
      </c>
      <c r="H37" s="19">
        <f>INDEX('Pipeline A-B'!$Q$2:$Q$132,MATCH($B37,'Pipeline A-B'!$A$2:$A$132,0))</f>
        <v/>
      </c>
      <c r="I37" s="10">
        <f>INDEX('Pipeline A-B'!$K$2:$K$132,MATCH($B37,'Pipeline A-B'!$A$2:$A$132,0))</f>
        <v/>
      </c>
      <c r="J37" s="10">
        <f>INDEX('Pipeline A-B'!$L$2:$L$132,MATCH($B37,'Pipeline A-B'!$A$2:$A$132,0))</f>
        <v/>
      </c>
      <c r="K37" s="10">
        <f>INDEX('Pipeline A-B'!$T$2:$T$132,MATCH($B37,'Pipeline A-B'!$A$2:$A$132,0))</f>
        <v/>
      </c>
      <c r="L37" s="10">
        <f>INDEX('Pipeline A-B'!$R$2:$R$132,MATCH($B37,'Pipeline A-B'!$A$2:$A$132,0))</f>
        <v/>
      </c>
    </row>
    <row r="38">
      <c r="A38" s="4" t="n">
        <v>37</v>
      </c>
      <c r="B38" s="4" t="inlineStr">
        <is>
          <t>S037</t>
        </is>
      </c>
      <c r="C38" s="11">
        <f>INDEX('Pipeline A-B'!$B$2:$B$132,MATCH($B38,'Pipeline A-B'!$A$2:$A$132,0))</f>
        <v/>
      </c>
      <c r="D38" s="10">
        <f>INDEX('Pipeline A-B'!$D$2:$D$132,MATCH($B38,'Pipeline A-B'!$A$2:$A$132,0))</f>
        <v/>
      </c>
      <c r="E38" s="10">
        <f>INDEX('Pipeline A-B'!$E$2:$E$132,MATCH($B38,'Pipeline A-B'!$A$2:$A$132,0))</f>
        <v/>
      </c>
      <c r="F38" s="10">
        <f>INDEX('Pipeline A-B'!$M$2:$M$132,MATCH($B38,'Pipeline A-B'!$A$2:$A$132,0))</f>
        <v/>
      </c>
      <c r="G38" s="18">
        <f>INDEX('Pipeline A-B'!$P$2:$P$132,MATCH($B38,'Pipeline A-B'!$A$2:$A$132,0))</f>
        <v/>
      </c>
      <c r="H38" s="19">
        <f>INDEX('Pipeline A-B'!$Q$2:$Q$132,MATCH($B38,'Pipeline A-B'!$A$2:$A$132,0))</f>
        <v/>
      </c>
      <c r="I38" s="10">
        <f>INDEX('Pipeline A-B'!$K$2:$K$132,MATCH($B38,'Pipeline A-B'!$A$2:$A$132,0))</f>
        <v/>
      </c>
      <c r="J38" s="10">
        <f>INDEX('Pipeline A-B'!$L$2:$L$132,MATCH($B38,'Pipeline A-B'!$A$2:$A$132,0))</f>
        <v/>
      </c>
      <c r="K38" s="10">
        <f>INDEX('Pipeline A-B'!$T$2:$T$132,MATCH($B38,'Pipeline A-B'!$A$2:$A$132,0))</f>
        <v/>
      </c>
      <c r="L38" s="10">
        <f>INDEX('Pipeline A-B'!$R$2:$R$132,MATCH($B38,'Pipeline A-B'!$A$2:$A$132,0))</f>
        <v/>
      </c>
    </row>
    <row r="39">
      <c r="A39" s="4" t="n">
        <v>38</v>
      </c>
      <c r="B39" s="4" t="inlineStr">
        <is>
          <t>S038</t>
        </is>
      </c>
      <c r="C39" s="11">
        <f>INDEX('Pipeline A-B'!$B$2:$B$132,MATCH($B39,'Pipeline A-B'!$A$2:$A$132,0))</f>
        <v/>
      </c>
      <c r="D39" s="10">
        <f>INDEX('Pipeline A-B'!$D$2:$D$132,MATCH($B39,'Pipeline A-B'!$A$2:$A$132,0))</f>
        <v/>
      </c>
      <c r="E39" s="10">
        <f>INDEX('Pipeline A-B'!$E$2:$E$132,MATCH($B39,'Pipeline A-B'!$A$2:$A$132,0))</f>
        <v/>
      </c>
      <c r="F39" s="10">
        <f>INDEX('Pipeline A-B'!$M$2:$M$132,MATCH($B39,'Pipeline A-B'!$A$2:$A$132,0))</f>
        <v/>
      </c>
      <c r="G39" s="18">
        <f>INDEX('Pipeline A-B'!$P$2:$P$132,MATCH($B39,'Pipeline A-B'!$A$2:$A$132,0))</f>
        <v/>
      </c>
      <c r="H39" s="19">
        <f>INDEX('Pipeline A-B'!$Q$2:$Q$132,MATCH($B39,'Pipeline A-B'!$A$2:$A$132,0))</f>
        <v/>
      </c>
      <c r="I39" s="10">
        <f>INDEX('Pipeline A-B'!$K$2:$K$132,MATCH($B39,'Pipeline A-B'!$A$2:$A$132,0))</f>
        <v/>
      </c>
      <c r="J39" s="10">
        <f>INDEX('Pipeline A-B'!$L$2:$L$132,MATCH($B39,'Pipeline A-B'!$A$2:$A$132,0))</f>
        <v/>
      </c>
      <c r="K39" s="10">
        <f>INDEX('Pipeline A-B'!$T$2:$T$132,MATCH($B39,'Pipeline A-B'!$A$2:$A$132,0))</f>
        <v/>
      </c>
      <c r="L39" s="10">
        <f>INDEX('Pipeline A-B'!$R$2:$R$132,MATCH($B39,'Pipeline A-B'!$A$2:$A$132,0))</f>
        <v/>
      </c>
    </row>
    <row r="40">
      <c r="A40" s="4" t="n">
        <v>39</v>
      </c>
      <c r="B40" s="4" t="inlineStr">
        <is>
          <t>S039</t>
        </is>
      </c>
      <c r="C40" s="11">
        <f>INDEX('Pipeline A-B'!$B$2:$B$132,MATCH($B40,'Pipeline A-B'!$A$2:$A$132,0))</f>
        <v/>
      </c>
      <c r="D40" s="10">
        <f>INDEX('Pipeline A-B'!$D$2:$D$132,MATCH($B40,'Pipeline A-B'!$A$2:$A$132,0))</f>
        <v/>
      </c>
      <c r="E40" s="10">
        <f>INDEX('Pipeline A-B'!$E$2:$E$132,MATCH($B40,'Pipeline A-B'!$A$2:$A$132,0))</f>
        <v/>
      </c>
      <c r="F40" s="10">
        <f>INDEX('Pipeline A-B'!$M$2:$M$132,MATCH($B40,'Pipeline A-B'!$A$2:$A$132,0))</f>
        <v/>
      </c>
      <c r="G40" s="18">
        <f>INDEX('Pipeline A-B'!$P$2:$P$132,MATCH($B40,'Pipeline A-B'!$A$2:$A$132,0))</f>
        <v/>
      </c>
      <c r="H40" s="19">
        <f>INDEX('Pipeline A-B'!$Q$2:$Q$132,MATCH($B40,'Pipeline A-B'!$A$2:$A$132,0))</f>
        <v/>
      </c>
      <c r="I40" s="10">
        <f>INDEX('Pipeline A-B'!$K$2:$K$132,MATCH($B40,'Pipeline A-B'!$A$2:$A$132,0))</f>
        <v/>
      </c>
      <c r="J40" s="10">
        <f>INDEX('Pipeline A-B'!$L$2:$L$132,MATCH($B40,'Pipeline A-B'!$A$2:$A$132,0))</f>
        <v/>
      </c>
      <c r="K40" s="10">
        <f>INDEX('Pipeline A-B'!$T$2:$T$132,MATCH($B40,'Pipeline A-B'!$A$2:$A$132,0))</f>
        <v/>
      </c>
      <c r="L40" s="10">
        <f>INDEX('Pipeline A-B'!$R$2:$R$132,MATCH($B40,'Pipeline A-B'!$A$2:$A$132,0))</f>
        <v/>
      </c>
    </row>
    <row r="41">
      <c r="A41" s="4" t="n">
        <v>40</v>
      </c>
      <c r="B41" s="4" t="inlineStr">
        <is>
          <t>S040</t>
        </is>
      </c>
      <c r="C41" s="11">
        <f>INDEX('Pipeline A-B'!$B$2:$B$132,MATCH($B41,'Pipeline A-B'!$A$2:$A$132,0))</f>
        <v/>
      </c>
      <c r="D41" s="10">
        <f>INDEX('Pipeline A-B'!$D$2:$D$132,MATCH($B41,'Pipeline A-B'!$A$2:$A$132,0))</f>
        <v/>
      </c>
      <c r="E41" s="10">
        <f>INDEX('Pipeline A-B'!$E$2:$E$132,MATCH($B41,'Pipeline A-B'!$A$2:$A$132,0))</f>
        <v/>
      </c>
      <c r="F41" s="10">
        <f>INDEX('Pipeline A-B'!$M$2:$M$132,MATCH($B41,'Pipeline A-B'!$A$2:$A$132,0))</f>
        <v/>
      </c>
      <c r="G41" s="18">
        <f>INDEX('Pipeline A-B'!$P$2:$P$132,MATCH($B41,'Pipeline A-B'!$A$2:$A$132,0))</f>
        <v/>
      </c>
      <c r="H41" s="19">
        <f>INDEX('Pipeline A-B'!$Q$2:$Q$132,MATCH($B41,'Pipeline A-B'!$A$2:$A$132,0))</f>
        <v/>
      </c>
      <c r="I41" s="10">
        <f>INDEX('Pipeline A-B'!$K$2:$K$132,MATCH($B41,'Pipeline A-B'!$A$2:$A$132,0))</f>
        <v/>
      </c>
      <c r="J41" s="10">
        <f>INDEX('Pipeline A-B'!$L$2:$L$132,MATCH($B41,'Pipeline A-B'!$A$2:$A$132,0))</f>
        <v/>
      </c>
      <c r="K41" s="10">
        <f>INDEX('Pipeline A-B'!$T$2:$T$132,MATCH($B41,'Pipeline A-B'!$A$2:$A$132,0))</f>
        <v/>
      </c>
      <c r="L41" s="10">
        <f>INDEX('Pipeline A-B'!$R$2:$R$132,MATCH($B41,'Pipeline A-B'!$A$2:$A$132,0))</f>
        <v/>
      </c>
    </row>
    <row r="43">
      <c r="C43" s="2" t="inlineStr">
        <is>
          <t>Order is a snapshot of priority on 24 Oct 2026. Details update live from 'Pipeline A-B'; to re-rank, sort that sheet by Priority score.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60" customWidth="1" min="3" max="3"/>
    <col width="40" customWidth="1" min="4" max="4"/>
    <col width="40" customWidth="1" min="5" max="5"/>
  </cols>
  <sheetData>
    <row r="1">
      <c r="A1" s="3" t="inlineStr">
        <is>
          <t>Organisation</t>
        </is>
      </c>
      <c r="B1" s="3" t="inlineStr">
        <is>
          <t>Edition</t>
        </is>
      </c>
      <c r="C1" s="3" t="inlineStr">
        <is>
          <t>Why it matters</t>
        </is>
      </c>
      <c r="D1" s="3" t="inlineStr">
        <is>
          <t>Evidence URL</t>
        </is>
      </c>
      <c r="E1" s="3" t="inlineStr">
        <is>
          <t>Next action</t>
        </is>
      </c>
    </row>
    <row r="2">
      <c r="A2" s="11" t="inlineStr">
        <is>
          <t>CCIFP (Franco-Portuguese Chamber)</t>
        </is>
      </c>
      <c r="B2" s="10" t="inlineStr">
        <is>
          <t>FR</t>
        </is>
      </c>
      <c r="C2" s="10" t="inlineStr">
        <is>
          <t>Created the Paris Portuguese property fair; members are our FR sponsors</t>
        </is>
      </c>
      <c r="D2" s="10" t="inlineStr">
        <is>
          <t>https://www.idealista.pt/news/node/59586</t>
        </is>
      </c>
      <c r="E2" s="10" t="inlineStr">
        <is>
          <t>Ask for member directory and a joint webinar</t>
        </is>
      </c>
    </row>
    <row r="3">
      <c r="A3" s="11" t="inlineStr">
        <is>
          <t>Salon de l'immobilier et de l'investissement portugais (Paris)</t>
        </is>
      </c>
      <c r="B3" s="10" t="inlineStr">
        <is>
          <t>FR</t>
        </is>
      </c>
      <c r="C3" s="10" t="inlineStr">
        <is>
          <t>~150 exhibitors and ~10,000 visitors per edition: the exhibitor list is a ready-made sponsor list</t>
        </is>
      </c>
      <c r="D3" s="10" t="inlineStr">
        <is>
          <t>https://lusojornal.com/salao-do-imobiliario-e-do-investimento-portugues-muda-se-para-a-porte-de-champeret/</t>
        </is>
      </c>
      <c r="E3" s="10" t="inlineStr">
        <is>
          <t>Get the latest exhibitor list; visit next edition</t>
        </is>
      </c>
    </row>
    <row r="4">
      <c r="A4" s="11" t="inlineStr">
        <is>
          <t>CCISSP (Swiss–Portuguese Chamber, Geneva)</t>
        </is>
      </c>
      <c r="B4" s="10" t="inlineStr">
        <is>
          <t>CH</t>
        </is>
      </c>
      <c r="C4" s="10" t="inlineStr">
        <is>
          <t>Organised a Portuguese property fair in Geneva (2020)</t>
        </is>
      </c>
      <c r="D4" s="10" t="inlineStr">
        <is>
          <t>https://www.idealista.pt/news/node/43936</t>
        </is>
      </c>
      <c r="E4" s="10" t="inlineStr">
        <is>
          <t>Ask for member directory and event partnership</t>
        </is>
      </c>
    </row>
    <row r="5">
      <c r="A5" s="11" t="inlineStr">
        <is>
          <t>Chambre de Commerce Luxembourg</t>
        </is>
      </c>
      <c r="B5" s="10" t="inlineStr">
        <is>
          <t>LU</t>
        </is>
      </c>
      <c r="C5" s="10" t="inlineStr">
        <is>
          <t>Runs the Luxembourg–Portugal Business Forum</t>
        </is>
      </c>
      <c r="D5" s="10" t="inlineStr">
        <is>
          <t>https://cc.lu/agenda/detail/luxembourg-portugal-business-forum</t>
        </is>
      </c>
      <c r="E5" s="10" t="inlineStr">
        <is>
          <t>Attend the next forum</t>
        </is>
      </c>
    </row>
    <row r="6">
      <c r="A6" s="11" t="inlineStr">
        <is>
          <t>Decisão magazine / Paperjam 10x6</t>
        </is>
      </c>
      <c r="B6" s="10" t="inlineStr">
        <is>
          <t>LU</t>
        </is>
      </c>
      <c r="C6" s="10" t="inlineStr">
        <is>
          <t>Portuguese business community in Luxembourg; event on 10 Nov 2026, Kinepolis Kirchberg</t>
        </is>
      </c>
      <c r="D6" s="10" t="inlineStr">
        <is>
          <t>https://en.paperjam.lu/club/event/paperjam-10x6-decisao-the-portuguese-business-community-in-action</t>
        </is>
      </c>
      <c r="E6" s="10" t="inlineStr">
        <is>
          <t>Partner attends and collects contacts</t>
        </is>
      </c>
    </row>
    <row r="7">
      <c r="A7" s="11" t="inlineStr">
        <is>
          <t>LusoJornal</t>
        </is>
      </c>
      <c r="B7" s="10" t="inlineStr">
        <is>
          <t>FR</t>
        </is>
      </c>
      <c r="C7" s="10" t="inlineStr">
        <is>
          <t>Weekly Franco-Portuguese paper; its advertisers are proven sponsors</t>
        </is>
      </c>
      <c r="D7" s="10" t="inlineStr">
        <is>
          <t>https://lusojornal.com/salao-do-imobiliario-e-do-investimento-portugues-muda-se-para-a-porte-de-champeret/</t>
        </is>
      </c>
      <c r="E7" s="10" t="inlineStr">
        <is>
          <t>Content swap; monitor advertisers monthly</t>
        </is>
      </c>
    </row>
    <row r="8">
      <c r="A8" s="11" t="inlineStr">
        <is>
          <t>Lusopress</t>
        </is>
      </c>
      <c r="B8" s="10" t="inlineStr">
        <is>
          <t>FR, PT</t>
        </is>
      </c>
      <c r="C8" s="10" t="inlineStr">
        <is>
          <t>Diaspora magazine; ad concession Boomerang – Multimédia e Comunicação</t>
        </is>
      </c>
      <c r="D8" s="10" t="inlineStr">
        <is>
          <t>https://lusopress.tv/wp-content/uploads/2025/12/Revista-142.pdf</t>
        </is>
      </c>
      <c r="E8" s="10" t="inlineStr">
        <is>
          <t>Ask the ad concessionaire who buys diaspora ads</t>
        </is>
      </c>
    </row>
    <row r="9">
      <c r="A9" s="11" t="inlineStr">
        <is>
          <t>Academia do Bacalhau de Paris</t>
        </is>
      </c>
      <c r="B9" s="10" t="inlineStr">
        <is>
          <t>FR</t>
        </is>
      </c>
      <c r="C9" s="10" t="inlineStr">
        <is>
          <t>Network of Portuguese business owners in Paris; sponsors include BCP, CGD, Fidelidade</t>
        </is>
      </c>
      <c r="D9" s="10" t="inlineStr">
        <is>
          <t>https://lusopress.tv/wp-content/uploads/2023/07/lusopress_125.pdf</t>
        </is>
      </c>
      <c r="E9" s="10" t="inlineStr">
        <is>
          <t>Introduction to members</t>
        </is>
      </c>
    </row>
    <row r="10">
      <c r="A10" s="11" t="inlineStr">
        <is>
          <t>Rádio Alfa</t>
        </is>
      </c>
      <c r="B10" s="10" t="inlineStr">
        <is>
          <t>FR</t>
        </is>
      </c>
      <c r="C10" s="10" t="inlineStr">
        <is>
          <t>Portuguese radio in Paris; media supporter of community events</t>
        </is>
      </c>
      <c r="D10" s="10" t="inlineStr">
        <is>
          <t>https://lusopress.tv/wp-content/uploads/2023/07/lusopress_125.pdf</t>
        </is>
      </c>
      <c r="E10" s="10" t="inlineStr">
        <is>
          <t>Content swap / joint segment</t>
        </is>
      </c>
    </row>
    <row r="11">
      <c r="A11" s="11" t="inlineStr">
        <is>
          <t>Rádio Latina</t>
        </is>
      </c>
      <c r="B11" s="10" t="inlineStr">
        <is>
          <t>LU</t>
        </is>
      </c>
      <c r="C11" s="10" t="inlineStr">
        <is>
          <t>Portuguese radio in Luxembourg</t>
        </is>
      </c>
      <c r="D11" s="10" t="inlineStr">
        <is>
          <t>https://en.paperjam.lu/guide/organisation/01276932145/radio-latina</t>
        </is>
      </c>
      <c r="E11" s="10" t="inlineStr">
        <is>
          <t>Content swap / joint segment</t>
        </is>
      </c>
    </row>
    <row r="12">
      <c r="A12" s="11" t="inlineStr">
        <is>
          <t>Contacto</t>
        </is>
      </c>
      <c r="B12" s="10" t="inlineStr">
        <is>
          <t>LU</t>
        </is>
      </c>
      <c r="C12" s="10" t="inlineStr">
        <is>
          <t>Portuguese newspaper in Luxembourg</t>
        </is>
      </c>
      <c r="D12" s="10" t="inlineStr">
        <is>
          <t>https://en.wikipedia.org/wiki/Contacto_(Luxembourg)</t>
        </is>
      </c>
      <c r="E12" s="10" t="inlineStr">
        <is>
          <t>Monitor advertisers; content swap</t>
        </is>
      </c>
    </row>
    <row r="13">
      <c r="A13" s="11" t="inlineStr">
        <is>
          <t>Eurodicas</t>
        </is>
      </c>
      <c r="B13" s="10" t="inlineStr">
        <is>
          <t>BR</t>
        </is>
      </c>
      <c r="C13" s="10" t="inlineStr">
        <is>
          <t>Large Brazilian site on living in Portugal; its partners and affiliates are proven BR sponsors (competitor and channel)</t>
        </is>
      </c>
      <c r="D13" s="10" t="inlineStr">
        <is>
          <t>https://www.eurodicas.com.br/comprar-casa-em-portugal/</t>
        </is>
      </c>
      <c r="E13" s="10" t="inlineStr">
        <is>
          <t>Monitor partners monthly</t>
        </is>
      </c>
    </row>
    <row r="15">
      <c r="A15" s="2" t="inlineStr">
        <is>
          <t>Not sponsors: they give access to sponsors, audience or intelligence on who buys diaspora ads.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  <col width="66" customWidth="1" min="3" max="3"/>
    <col width="50" customWidth="1" min="4" max="4"/>
  </cols>
  <sheetData>
    <row r="1">
      <c r="A1" s="3" t="inlineStr">
        <is>
          <t>Possible buyer</t>
        </is>
      </c>
      <c r="B1" s="3" t="inlineStr">
        <is>
          <t>Type</t>
        </is>
      </c>
      <c r="C1" s="3" t="inlineStr">
        <is>
          <t>Why they would buy</t>
        </is>
      </c>
      <c r="D1" s="3" t="inlineStr">
        <is>
          <t>Evidence URL</t>
        </is>
      </c>
    </row>
    <row r="2">
      <c r="A2" s="11" t="inlineStr">
        <is>
          <t>idealista</t>
        </is>
      </c>
      <c r="B2" s="10" t="inlineStr">
        <is>
          <t>Portal</t>
        </is>
      </c>
      <c r="C2" s="10" t="inlineStr">
        <is>
          <t>Announced purchase of Kyero (international buyers) in 2024; deal abandoned in 2025 after CNMC conditions</t>
        </is>
      </c>
      <c r="D2" s="10" t="inlineStr">
        <is>
          <t>https://www.onlinemarketplaces.com/articles/idealistas-kyero-acquisition-cancelled-as-competition-authority-steps-in/</t>
        </is>
      </c>
    </row>
    <row r="3">
      <c r="A3" s="11" t="inlineStr">
        <is>
          <t>Kyero</t>
        </is>
      </c>
      <c r="B3" s="10" t="inlineStr">
        <is>
          <t>Portal for international buyers</t>
        </is>
      </c>
      <c r="C3" s="10" t="inlineStr">
        <is>
          <t>Plans to reinvest in growth after the failed idealista deal</t>
        </is>
      </c>
      <c r="D3" s="10" t="inlineStr">
        <is>
          <t>https://www.onlinemarketplaces.com/articles/idealistas-kyero-acquisition-cancelled-as-competition-authority-steps-in/</t>
        </is>
      </c>
    </row>
    <row r="4">
      <c r="A4" s="11" t="inlineStr">
        <is>
          <t>Green-Acres</t>
        </is>
      </c>
      <c r="B4" s="10" t="inlineStr">
        <is>
          <t>Second-home portal</t>
        </is>
      </c>
      <c r="C4" s="10" t="inlineStr">
        <is>
          <t>56 countries, 20 languages; agency subscriptions</t>
        </is>
      </c>
      <c r="D4" s="10" t="inlineStr">
        <is>
          <t>https://www.luxinmo.com/portals/green-acres</t>
        </is>
      </c>
    </row>
    <row r="5">
      <c r="A5" s="11" t="inlineStr">
        <is>
          <t>A Place in the Sun</t>
        </is>
      </c>
      <c r="B5" s="10" t="inlineStr">
        <is>
          <t>Overseas property media</t>
        </is>
      </c>
      <c r="C5" s="10" t="inlineStr">
        <is>
          <t>Same media + fairs model, UK audience</t>
        </is>
      </c>
      <c r="D5" s="10" t="inlineStr">
        <is>
          <t>https://www.aplaceinthesun.com/advertise/magazine</t>
        </is>
      </c>
    </row>
    <row r="6">
      <c r="A6" s="11" t="inlineStr">
        <is>
          <t>Portugal Homes</t>
        </is>
      </c>
      <c r="B6" s="10" t="inlineStr">
        <is>
          <t>Agency for international buyers</t>
        </is>
      </c>
      <c r="C6" s="10" t="inlineStr">
        <is>
          <t>Would buy a ready audience of foreign buyers</t>
        </is>
      </c>
      <c r="D6" s="10" t="inlineStr">
        <is>
          <t>https://www.portugalhomes.com/pt/move-to-portugal/services/property-management</t>
        </is>
      </c>
    </row>
    <row r="7">
      <c r="A7" s="11" t="inlineStr">
        <is>
          <t>Imovirtual</t>
        </is>
      </c>
      <c r="B7" s="10" t="inlineStr">
        <is>
          <t>Portal</t>
        </is>
      </c>
      <c r="C7" s="10" t="inlineStr">
        <is>
          <t>Portuguese portal; diaspora audience is a gap</t>
        </is>
      </c>
      <c r="D7" s="10" t="n"/>
    </row>
    <row r="8">
      <c r="A8" s="11" t="inlineStr">
        <is>
          <t>Casa Sapo</t>
        </is>
      </c>
      <c r="B8" s="10" t="inlineStr">
        <is>
          <t>Portal</t>
        </is>
      </c>
      <c r="C8" s="10" t="inlineStr">
        <is>
          <t>Portuguese portal; diaspora audience is a gap</t>
        </is>
      </c>
      <c r="D8" s="10" t="n"/>
    </row>
    <row r="9">
      <c r="A9" s="11" t="inlineStr">
        <is>
          <t>RE/MAX Portugal / ERA / Zome</t>
        </is>
      </c>
      <c r="B9" s="10" t="inlineStr">
        <is>
          <t>Agency networks</t>
        </is>
      </c>
      <c r="C9" s="10" t="inlineStr">
        <is>
          <t>Lead source for emigrant sellers and buyers</t>
        </is>
      </c>
      <c r="D9" s="10" t="n"/>
    </row>
    <row r="10">
      <c r="A10" s="11" t="inlineStr">
        <is>
          <t>LusoJornal / Lusopress</t>
        </is>
      </c>
      <c r="B10" s="10" t="inlineStr">
        <is>
          <t>Diaspora media</t>
        </is>
      </c>
      <c r="C10" s="10" t="inlineStr">
        <is>
          <t>Consolidation of diaspora media</t>
        </is>
      </c>
      <c r="D10" s="10" t="inlineStr">
        <is>
          <t>https://lusojornal.com/salao-do-imobiliario-e-do-investimento-portugues-muda-se-para-a-porte-de-champeret/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10" r:id="rId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44" customWidth="1" min="1" max="1"/>
    <col width="10" customWidth="1" min="2" max="2"/>
    <col width="14" customWidth="1" min="3" max="3"/>
    <col width="70" customWidth="1" min="4" max="4"/>
    <col width="34" customWidth="1" min="5" max="5"/>
    <col width="40" customWidth="1" min="6" max="6"/>
    <col width="13" customWidth="1" min="7" max="7"/>
    <col width="46" customWidth="1" min="8" max="8"/>
    <col width="40" customWidth="1" min="9" max="9"/>
  </cols>
  <sheetData>
    <row r="1">
      <c r="A1" s="3" t="inlineStr">
        <is>
          <t>Organisation</t>
        </is>
      </c>
      <c r="B1" s="3" t="inlineStr">
        <is>
          <t>Type</t>
        </is>
      </c>
      <c r="C1" s="3" t="inlineStr">
        <is>
          <t>Country</t>
        </is>
      </c>
      <c r="D1" s="3" t="inlineStr">
        <is>
          <t>What they offer</t>
        </is>
      </c>
      <c r="E1" s="3" t="inlineStr">
        <is>
          <t>Public contact route</t>
        </is>
      </c>
      <c r="F1" s="3" t="inlineStr">
        <is>
          <t>Evidence URL</t>
        </is>
      </c>
      <c r="G1" s="3" t="inlineStr">
        <is>
          <t>Evidence check</t>
        </is>
      </c>
      <c r="H1" s="3" t="inlineStr">
        <is>
          <t>Relevance</t>
        </is>
      </c>
      <c r="I1" s="3" t="inlineStr">
        <is>
          <t>Next action</t>
        </is>
      </c>
    </row>
    <row r="2">
      <c r="A2" s="11" t="inlineStr">
        <is>
          <t>AmCham Portugal (Câmara de Comércio Americana em Portugal)</t>
        </is>
      </c>
      <c r="B2" s="10" t="inlineStr">
        <is>
          <t>Chamber</t>
        </is>
      </c>
      <c r="C2" s="10" t="inlineStr">
        <is>
          <t>USA</t>
        </is>
      </c>
      <c r="D2" s="10" t="inlineStr">
        <is>
          <t>Private non-profit bilateral chamber, about 300 member companies; monthly newsletter; more than 40 events a year; 49 sponsors in Platinum, Gold and Silver tiers (own site)</t>
        </is>
      </c>
      <c r="E2" s="10" t="inlineStr">
        <is>
          <t>Contact form on the site (Contactos page)</t>
        </is>
      </c>
      <c r="F2" s="10" t="inlineStr">
        <is>
          <t>https://amchamportugal.pt</t>
        </is>
      </c>
      <c r="G2" s="10" t="inlineStr">
        <is>
          <t>Fetched</t>
        </is>
      </c>
      <c r="H2" s="10" t="inlineStr">
        <is>
          <t>High for the US edition: the one organisation that reaches US companies in Portugal</t>
        </is>
      </c>
      <c r="I2" s="10" t="inlineStr">
        <is>
          <t>Ask for sponsor and newsletter options; offer a labelled guest post</t>
        </is>
      </c>
    </row>
    <row r="3">
      <c r="A3" s="11" t="inlineStr">
        <is>
          <t>British-Portuguese Chamber of Commerce (BPCC)</t>
        </is>
      </c>
      <c r="B3" s="10" t="inlineStr">
        <is>
          <t>Chamber</t>
        </is>
      </c>
      <c r="C3" s="10" t="inlineStr">
        <is>
          <t>United Kingdom</t>
        </is>
      </c>
      <c r="D3" s="10" t="inlineStr">
        <is>
          <t>Founded 1911, about 350 members, offices in Lisbon, the North and the Algarve; an advertising service and a mailing list (no prices published)</t>
        </is>
      </c>
      <c r="E3" s="10" t="inlineStr">
        <is>
          <t>Contacts page on the site</t>
        </is>
      </c>
      <c r="F3" s="10" t="inlineStr">
        <is>
          <t>https://bpcc.pt</t>
        </is>
      </c>
      <c r="G3" s="10" t="inlineStr">
        <is>
          <t>Fetched</t>
        </is>
      </c>
      <c r="H3" s="10" t="inlineStr">
        <is>
          <t>Low: there is no UK edition. Savills Portugal is a member (an agency, D9)</t>
        </is>
      </c>
      <c r="I3" s="10" t="inlineStr">
        <is>
          <t>Park until a UK edition exists</t>
        </is>
      </c>
    </row>
    <row r="4">
      <c r="A4" s="11" t="inlineStr">
        <is>
          <t>Portuguese Chamber of Commerce in the UK (PCCUK)</t>
        </is>
      </c>
      <c r="B4" s="10" t="inlineStr">
        <is>
          <t>Chamber</t>
        </is>
      </c>
      <c r="C4" s="10" t="inlineStr">
        <is>
          <t>United Kingdom</t>
        </is>
      </c>
      <c r="D4" s="10" t="inlineStr">
        <is>
          <t>Runs the Moving to Portugal show and seminars with AICEP, four a year (London 26 Mar 2026; London 15 Oct 2026; Edinburgh 12 Nov 2026); free for visitors; exhibitors include resorts, banks, tax advisers</t>
        </is>
      </c>
      <c r="E4" s="10" t="inlineStr">
        <is>
          <t>Via the show's website or AICEP (public line on the Portugal Global page)</t>
        </is>
      </c>
      <c r="F4" s="10" t="inlineStr">
        <is>
          <t>https://portugalglobal.pt/en/news/2026/fevereiro/moving-to-portugal-show-and-seminars-returns-to-central-london</t>
        </is>
      </c>
      <c r="G4" s="10" t="inlineStr">
        <is>
          <t>Fetched</t>
        </is>
      </c>
      <c r="H4" s="10" t="inlineStr">
        <is>
          <t>Low: UK audience, no UK edition; useful as a model for a US show</t>
        </is>
      </c>
      <c r="I4" s="10" t="inlineStr">
        <is>
          <t>Park</t>
        </is>
      </c>
    </row>
    <row r="5">
      <c r="A5" s="11" t="inlineStr">
        <is>
          <t>Portugal-China Chamber of Commerce and Industry (CCILC)</t>
        </is>
      </c>
      <c r="B5" s="10" t="inlineStr">
        <is>
          <t>Chamber</t>
        </is>
      </c>
      <c r="C5" s="10" t="inlineStr">
        <is>
          <t>China</t>
        </is>
      </c>
      <c r="D5" s="10" t="inlineStr">
        <is>
          <t>Lisbon chamber founded in 1978, about 200 member companies (undated EU SME Centre profile); a Sept 2026 item reports a new corporate member</t>
        </is>
      </c>
      <c r="E5" s="10" t="inlineStr">
        <is>
          <t>Via its website (not opened)</t>
        </is>
      </c>
      <c r="F5" s="10" t="inlineStr">
        <is>
          <t>https://www.eusmecentre.org.cn/partners/portugal-china-chamber-of-commerce-and-industry-ccilc</t>
        </is>
      </c>
      <c r="G5" s="10" t="inlineStr">
        <is>
          <t>Search result</t>
        </is>
      </c>
      <c r="H5" s="10" t="inlineStr">
        <is>
          <t>Low: no Chinese edition and no current Chinese residential developer found</t>
        </is>
      </c>
      <c r="I5" s="10" t="inlineStr">
        <is>
          <t>Park; re-check if a Chinese-language edition is ever planned</t>
        </is>
      </c>
    </row>
    <row r="6">
      <c r="A6" s="11" t="inlineStr">
        <is>
          <t>Portuguese-Israeli Chamber of Commerce (CCLI)</t>
        </is>
      </c>
      <c r="B6" s="10" t="inlineStr">
        <is>
          <t>Chamber</t>
        </is>
      </c>
      <c r="C6" s="10" t="inlineStr">
        <is>
          <t>Israel</t>
        </is>
      </c>
      <c r="D6" s="10" t="inlineStr">
        <is>
          <t>Reported by Portugal Resident as a newly formed chamber that held a lunch in Porto for about 50 people; the article is undated and no current website was found</t>
        </is>
      </c>
      <c r="E6" s="10" t="inlineStr">
        <is>
          <t>Unknown</t>
        </is>
      </c>
      <c r="F6" s="10" t="inlineStr">
        <is>
          <t>https://www.portugalresident.com/chamber/</t>
        </is>
      </c>
      <c r="G6" s="10" t="inlineStr">
        <is>
          <t>Search result</t>
        </is>
      </c>
      <c r="H6" s="10" t="inlineStr">
        <is>
          <t>High if it exists: the natural door to Israeli developers in Porto</t>
        </is>
      </c>
      <c r="I6" s="10" t="inlineStr">
        <is>
          <t>Daniel or the partner to confirm the chamber exists and who runs it</t>
        </is>
      </c>
    </row>
    <row r="7">
      <c r="A7" s="11" t="inlineStr">
        <is>
          <t>U.S. Commercial Service, Embassy of the United States in Lisbon</t>
        </is>
      </c>
      <c r="B7" s="10" t="inlineStr">
        <is>
          <t>Embassy</t>
        </is>
      </c>
      <c r="C7" s="10" t="inlineStr">
        <is>
          <t>USA</t>
        </is>
      </c>
      <c r="D7" s="10" t="inlineStr">
        <is>
          <t>Helps US companies export to Portugal; office inside the embassy compound; the site lists a public office line and staff names that differ between pages</t>
        </is>
      </c>
      <c r="E7" s="10" t="inlineStr">
        <is>
          <t>Office contact on the trade.gov Portugal page</t>
        </is>
      </c>
      <c r="F7" s="10" t="inlineStr">
        <is>
          <t>https://www.trade.gov/portugal-contact-us</t>
        </is>
      </c>
      <c r="G7" s="10" t="inlineStr">
        <is>
          <t>Search result</t>
        </is>
      </c>
      <c r="H7" s="10" t="inlineStr">
        <is>
          <t>Low: it serves US exporters, not buyers. Ask only whether it can share a note with US firms active in Portuguese real estate</t>
        </is>
      </c>
      <c r="I7" s="10" t="inlineStr">
        <is>
          <t>Formal introduction request, no logo or endorsement</t>
        </is>
      </c>
    </row>
    <row r="8">
      <c r="A8" s="11" t="inlineStr">
        <is>
          <t>Embassy of the United Kingdom in Lisbon, Department for Business and Trade</t>
        </is>
      </c>
      <c r="B8" s="10" t="inlineStr">
        <is>
          <t>Embassy</t>
        </is>
      </c>
      <c r="C8" s="10" t="inlineStr">
        <is>
          <t>United Kingdom</t>
        </is>
      </c>
      <c r="D8" s="10" t="inlineStr">
        <is>
          <t>Directs UK companies that want to export or invest in Portugal to a public enquiries mailbox</t>
        </is>
      </c>
      <c r="E8" s="10" t="inlineStr">
        <is>
          <t>Public enquiries route on the gov.uk page</t>
        </is>
      </c>
      <c r="F8" s="10" t="inlineStr">
        <is>
          <t>https://www.gov.uk/world/organisations/british-embassy-lisbon/office/department-for-business-and-trade</t>
        </is>
      </c>
      <c r="G8" s="10" t="inlineStr">
        <is>
          <t>Fetched</t>
        </is>
      </c>
      <c r="H8" s="10" t="inlineStr">
        <is>
          <t>Low: no UK edition</t>
        </is>
      </c>
      <c r="I8" s="10" t="inlineStr">
        <is>
          <t>Park</t>
        </is>
      </c>
    </row>
    <row r="9">
      <c r="A9" s="11" t="inlineStr">
        <is>
          <t>Embassy of Israel in Lisbon</t>
        </is>
      </c>
      <c r="B9" s="10" t="inlineStr">
        <is>
          <t>Embassy</t>
        </is>
      </c>
      <c r="C9" s="10" t="inlineStr">
        <is>
          <t>Israel</t>
        </is>
      </c>
      <c r="D9" s="10" t="inlineStr">
        <is>
          <t>Public site with the embassy's departments and social accounts. No economic or trade section page was found; Israel's missions often have one inside the Foreign Trade Administration, but this is not confirmed for Lisbon</t>
        </is>
      </c>
      <c r="E9" s="10" t="inlineStr">
        <is>
          <t>Enquiry route on the embassy site</t>
        </is>
      </c>
      <c r="F9" s="10" t="inlineStr">
        <is>
          <t>https://embassies.gov.il/portugal/en</t>
        </is>
      </c>
      <c r="G9" s="10" t="inlineStr">
        <is>
          <t>Search result</t>
        </is>
      </c>
      <c r="H9" s="10" t="inlineStr">
        <is>
          <t>Medium for the IL edition, once the economic section is identified</t>
        </is>
      </c>
      <c r="I9" s="10" t="inlineStr">
        <is>
          <t>Find the economic section (task for Daniel); then a formal introduction request</t>
        </is>
      </c>
    </row>
    <row r="10">
      <c r="A10" s="11" t="inlineStr">
        <is>
          <t>Embassy of China in Lisbon, Economic and Commercial Counsellor's Office</t>
        </is>
      </c>
      <c r="B10" s="10" t="inlineStr">
        <is>
          <t>Embassy</t>
        </is>
      </c>
      <c r="C10" s="10" t="inlineStr">
        <is>
          <t>China</t>
        </is>
      </c>
      <c r="D10" s="10" t="inlineStr">
        <is>
          <t>Mandate (2015 Ministry of Commerce page): promote bilateral trade and investment, advise firms, organise fairs and seminars; no public contact route found</t>
        </is>
      </c>
      <c r="E10" s="10" t="inlineStr">
        <is>
          <t>Via the embassy's official site (not opened)</t>
        </is>
      </c>
      <c r="F10" s="10" t="inlineStr">
        <is>
          <t>https://pt.mofcom.gov.cn/AboutUs/art/2015/art_1d0f6ff0306d46a1b7192aa708363bfb.html</t>
        </is>
      </c>
      <c r="G10" s="10" t="inlineStr">
        <is>
          <t>Search result</t>
        </is>
      </c>
      <c r="H10" s="10" t="inlineStr">
        <is>
          <t>Low</t>
        </is>
      </c>
      <c r="I10" s="10" t="inlineStr">
        <is>
          <t>Park</t>
        </is>
      </c>
    </row>
    <row r="12">
      <c r="A12" s="2" t="inlineStr">
        <is>
          <t>Introductions only: no endorsement requested, no embassy or chamber name or logo on our site or media kit. No personal emails are stored.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6" customWidth="1" min="3" max="3"/>
    <col width="50" customWidth="1" min="4" max="4"/>
    <col width="60" customWidth="1" min="5" max="5"/>
  </cols>
  <sheetData>
    <row r="1">
      <c r="A1" s="3" t="inlineStr">
        <is>
          <t>Company</t>
        </is>
      </c>
      <c r="B1" s="3" t="inlineStr">
        <is>
          <t>Sector</t>
        </is>
      </c>
      <c r="C1" s="3" t="inlineStr">
        <is>
          <t>Tier</t>
        </is>
      </c>
      <c r="D1" s="3" t="inlineStr">
        <is>
          <t>Evidence URL</t>
        </is>
      </c>
      <c r="E1" s="3" t="inlineStr">
        <is>
          <t>Why excluded</t>
        </is>
      </c>
    </row>
    <row r="2">
      <c r="A2" s="10" t="inlineStr">
        <is>
          <t>7 Adresses</t>
        </is>
      </c>
      <c r="B2" s="10" t="inlineStr">
        <is>
          <t>Agency</t>
        </is>
      </c>
      <c r="C2" s="10" t="inlineStr">
        <is>
          <t>A</t>
        </is>
      </c>
      <c r="D2" s="10" t="inlineStr">
        <is>
          <t>https://www.idealista.pt/news/node/26913</t>
        </is>
      </c>
      <c r="E2" s="10" t="inlineStr">
        <is>
          <t>Real-estate agency: competes with the partner agency (decision D9)</t>
        </is>
      </c>
    </row>
    <row r="3">
      <c r="A3" s="10" t="inlineStr">
        <is>
          <t>Century 21 Portugal</t>
        </is>
      </c>
      <c r="B3" s="10" t="inlineStr">
        <is>
          <t>Agency network</t>
        </is>
      </c>
      <c r="C3" s="10" t="inlineStr">
        <is>
          <t>C</t>
        </is>
      </c>
      <c r="D3" s="10" t="n"/>
      <c r="E3" s="10" t="inlineStr">
        <is>
          <t>Real-estate agency: competes with the partner agency (decision D9)</t>
        </is>
      </c>
    </row>
    <row r="4">
      <c r="A4" s="10" t="inlineStr">
        <is>
          <t>Conexão Europa Imóveis</t>
        </is>
      </c>
      <c r="B4" s="10" t="inlineStr">
        <is>
          <t>Buying advice / property management</t>
        </is>
      </c>
      <c r="C4" s="10" t="inlineStr">
        <is>
          <t>A</t>
        </is>
      </c>
      <c r="D4" s="10" t="inlineStr">
        <is>
          <t>https://www.eurodicas.com.br/conexao-europa-imoveis/</t>
        </is>
      </c>
      <c r="E4" s="10" t="inlineStr">
        <is>
          <t>Real-estate agency: competes with the partner agency (decision D9)</t>
        </is>
      </c>
    </row>
    <row r="5">
      <c r="A5" s="10" t="inlineStr">
        <is>
          <t>Dils</t>
        </is>
      </c>
      <c r="B5" s="10" t="inlineStr">
        <is>
          <t>Agency</t>
        </is>
      </c>
      <c r="C5" s="10" t="inlineStr">
        <is>
          <t>B</t>
        </is>
      </c>
      <c r="D5" s="10" t="inlineStr">
        <is>
          <t>https://dnbrasil.dn.pt/o-brasileiro-o-nosso-principal-cliente-afirma-gestora-de-imobiliria-de-alto-padro-em-portugal</t>
        </is>
      </c>
      <c r="E5" s="10" t="inlineStr">
        <is>
          <t>Real-estate agency: competes with the partner agency (decision D9)</t>
        </is>
      </c>
    </row>
    <row r="6">
      <c r="A6" s="10" t="inlineStr">
        <is>
          <t>ERA Avenidas Novas</t>
        </is>
      </c>
      <c r="B6" s="10" t="inlineStr">
        <is>
          <t>Agency</t>
        </is>
      </c>
      <c r="C6" s="10" t="inlineStr">
        <is>
          <t>A</t>
        </is>
      </c>
      <c r="D6" s="10" t="inlineStr">
        <is>
          <t>https://www.idealista.pt/news/node/26913</t>
        </is>
      </c>
      <c r="E6" s="10" t="inlineStr">
        <is>
          <t>Real-estate agency: competes with the partner agency (decision D9)</t>
        </is>
      </c>
    </row>
    <row r="7">
      <c r="A7" s="10" t="inlineStr">
        <is>
          <t>Engel &amp; Völkers Portugal</t>
        </is>
      </c>
      <c r="B7" s="10" t="inlineStr">
        <is>
          <t>Agency</t>
        </is>
      </c>
      <c r="C7" s="10" t="inlineStr">
        <is>
          <t>A</t>
        </is>
      </c>
      <c r="D7" s="10" t="inlineStr">
        <is>
          <t>https://www.idealista.pt/news/node/26913</t>
        </is>
      </c>
      <c r="E7" s="10" t="inlineStr">
        <is>
          <t>Real-estate agency: competes with the partner agency (decision D9)</t>
        </is>
      </c>
    </row>
    <row r="8">
      <c r="A8" s="10" t="inlineStr">
        <is>
          <t>Faccin Investments</t>
        </is>
      </c>
      <c r="B8" s="10" t="inlineStr">
        <is>
          <t>Property consultancy</t>
        </is>
      </c>
      <c r="C8" s="10" t="inlineStr">
        <is>
          <t>B</t>
        </is>
      </c>
      <c r="D8" s="10" t="inlineStr">
        <is>
          <t>https://investnews.com.br/financas/entre-estrangeiros-brasileiros-lideram-busca-por-imoveis-de-luxo-em-pontos-nobres-de-portugal/amp/</t>
        </is>
      </c>
      <c r="E8" s="10" t="inlineStr">
        <is>
          <t>Real-estate agency: competes with the partner agency (decision D9)</t>
        </is>
      </c>
    </row>
    <row r="9">
      <c r="A9" s="10" t="inlineStr">
        <is>
          <t>Flávia Motta</t>
        </is>
      </c>
      <c r="B9" s="10" t="inlineStr">
        <is>
          <t>Broker (Brazilian clients)</t>
        </is>
      </c>
      <c r="C9" s="10" t="inlineStr">
        <is>
          <t>B</t>
        </is>
      </c>
      <c r="D9" s="10" t="inlineStr">
        <is>
          <t>https://dnbrasil.dn.pt/flávia-motta-a-carioca-que-virou-referência-para-brasileiros-no-mercado-imobiliário-português</t>
        </is>
      </c>
      <c r="E9" s="10" t="inlineStr">
        <is>
          <t>Real-estate agency: competes with the partner agency (decision D9)</t>
        </is>
      </c>
    </row>
    <row r="10">
      <c r="A10" s="10" t="inlineStr">
        <is>
          <t>Fábio Neves Imobiliária</t>
        </is>
      </c>
      <c r="B10" s="10" t="inlineStr">
        <is>
          <t>Agency</t>
        </is>
      </c>
      <c r="C10" s="10" t="inlineStr">
        <is>
          <t>A</t>
        </is>
      </c>
      <c r="D10" s="10" t="inlineStr">
        <is>
          <t>https://www.theportugalnews.com/pt/noticias/2026-05-08/fabio-neves-imobiliaria-ajuda-compradores-internacionais-a-mudarem-se-e-a-investirem-em-portugal/1017957</t>
        </is>
      </c>
      <c r="E10" s="10" t="inlineStr">
        <is>
          <t>Real-estate agency: competes with the partner agency (decision D9)</t>
        </is>
      </c>
    </row>
    <row r="11">
      <c r="A11" s="10" t="inlineStr">
        <is>
          <t>Homelovers</t>
        </is>
      </c>
      <c r="B11" s="10" t="inlineStr">
        <is>
          <t>Agency</t>
        </is>
      </c>
      <c r="C11" s="10" t="inlineStr">
        <is>
          <t>A</t>
        </is>
      </c>
      <c r="D11" s="10" t="inlineStr">
        <is>
          <t>https://www.idealista.pt/news/node/26913</t>
        </is>
      </c>
      <c r="E11" s="10" t="inlineStr">
        <is>
          <t>Real-estate agency: competes with the partner agency (decision D9)</t>
        </is>
      </c>
    </row>
    <row r="12">
      <c r="A12" s="10" t="inlineStr">
        <is>
          <t>Infante &amp; Riu</t>
        </is>
      </c>
      <c r="B12" s="10" t="inlineStr">
        <is>
          <t>Agency</t>
        </is>
      </c>
      <c r="C12" s="10" t="inlineStr">
        <is>
          <t>A</t>
        </is>
      </c>
      <c r="D12" s="10" t="inlineStr">
        <is>
          <t>https://www.idealista.pt/news/node/26913</t>
        </is>
      </c>
      <c r="E12" s="10" t="inlineStr">
        <is>
          <t>Real-estate agency: competes with the partner agency (decision D9)</t>
        </is>
      </c>
    </row>
    <row r="13">
      <c r="A13" s="10" t="inlineStr">
        <is>
          <t>Judice &amp; Araújo | Christie's</t>
        </is>
      </c>
      <c r="B13" s="10" t="inlineStr">
        <is>
          <t>Agency (Rio de Janeiro)</t>
        </is>
      </c>
      <c r="C13" s="10" t="inlineStr">
        <is>
          <t>A</t>
        </is>
      </c>
      <c r="D13" s="10" t="inlineStr">
        <is>
          <t>https://monitormercantil.com.br/mercado-imobili-rio-de-portugal-op-o-para-a-investidores-brasileiros/</t>
        </is>
      </c>
      <c r="E13" s="10" t="inlineStr">
        <is>
          <t>Real-estate agency: competes with the partner agency (decision D9)</t>
        </is>
      </c>
    </row>
    <row r="14">
      <c r="A14" s="10" t="inlineStr">
        <is>
          <t>KW Portugal</t>
        </is>
      </c>
      <c r="B14" s="10" t="inlineStr">
        <is>
          <t>Agency network</t>
        </is>
      </c>
      <c r="C14" s="10" t="inlineStr">
        <is>
          <t>C</t>
        </is>
      </c>
      <c r="D14" s="10" t="n"/>
      <c r="E14" s="10" t="inlineStr">
        <is>
          <t>Real-estate agency: competes with the partner agency (decision D9)</t>
        </is>
      </c>
    </row>
    <row r="15">
      <c r="A15" s="10" t="inlineStr">
        <is>
          <t>Libertas / Maison au Portugal</t>
        </is>
      </c>
      <c r="B15" s="10" t="inlineStr">
        <is>
          <t>Agency / developer</t>
        </is>
      </c>
      <c r="C15" s="10" t="inlineStr">
        <is>
          <t>A</t>
        </is>
      </c>
      <c r="D15" s="10" t="inlineStr">
        <is>
          <t>https://libertas.pt/fr/decouvrez-limmobilier-portugais-au-salon-de-linvestissement-de-paris/</t>
        </is>
      </c>
      <c r="E15" s="10" t="inlineStr">
        <is>
          <t>Real-estate agency: competes with the partner agency (decision D9)</t>
        </is>
      </c>
    </row>
    <row r="16">
      <c r="A16" s="10" t="inlineStr">
        <is>
          <t>Maia International Properties</t>
        </is>
      </c>
      <c r="B16" s="10" t="inlineStr">
        <is>
          <t>Agency (Brazilian buyers)</t>
        </is>
      </c>
      <c r="C16" s="10" t="inlineStr">
        <is>
          <t>A</t>
        </is>
      </c>
      <c r="D16" s="10" t="inlineStr">
        <is>
          <t>https://diariodocomercio.com.br/negocios/imobiliaria-boutique-portugal-luiz-felipe-maia/</t>
        </is>
      </c>
      <c r="E16" s="10" t="inlineStr">
        <is>
          <t>Real-estate agency: competes with the partner agency (decision D9)</t>
        </is>
      </c>
    </row>
    <row r="17">
      <c r="A17" s="10" t="inlineStr">
        <is>
          <t>Oliveira Imóveis</t>
        </is>
      </c>
      <c r="B17" s="10" t="inlineStr">
        <is>
          <t>Buying consultancy (Brazilian buyers)</t>
        </is>
      </c>
      <c r="C17" s="10" t="inlineStr">
        <is>
          <t>A</t>
        </is>
      </c>
      <c r="D17" s="10" t="inlineStr">
        <is>
          <t>https://www.eurodicas.com.br/comprar-casa-em-portugal/</t>
        </is>
      </c>
      <c r="E17" s="10" t="inlineStr">
        <is>
          <t>Real-estate agency: competes with the partner agency (decision D9)</t>
        </is>
      </c>
    </row>
    <row r="18">
      <c r="A18" s="10" t="inlineStr">
        <is>
          <t>Porta da Frente | Christie's</t>
        </is>
      </c>
      <c r="B18" s="10" t="inlineStr">
        <is>
          <t>Agency (Lisbon)</t>
        </is>
      </c>
      <c r="C18" s="10" t="inlineStr">
        <is>
          <t>A</t>
        </is>
      </c>
      <c r="D18" s="10" t="inlineStr">
        <is>
          <t>https://monitormercantil.com.br/mercado-imobili-rio-de-portugal-op-o-para-a-investidores-brasileiros/</t>
        </is>
      </c>
      <c r="E18" s="10" t="inlineStr">
        <is>
          <t>Real-estate agency: competes with the partner agency (decision D9)</t>
        </is>
      </c>
    </row>
    <row r="19">
      <c r="A19" s="10" t="inlineStr">
        <is>
          <t>Portugal Homes</t>
        </is>
      </c>
      <c r="B19" s="10" t="inlineStr">
        <is>
          <t>Agency / relocation</t>
        </is>
      </c>
      <c r="C19" s="10" t="inlineStr">
        <is>
          <t>B</t>
        </is>
      </c>
      <c r="D19" s="10" t="inlineStr">
        <is>
          <t>https://www.portugalhomes.com/pt/move-to-portugal/services/property-management</t>
        </is>
      </c>
      <c r="E19" s="10" t="inlineStr">
        <is>
          <t>Real-estate agency: competes with the partner agency (decision D9)</t>
        </is>
      </c>
    </row>
    <row r="20">
      <c r="A20" s="10" t="inlineStr">
        <is>
          <t>Portugal Sotheby's International Realty</t>
        </is>
      </c>
      <c r="B20" s="10" t="inlineStr">
        <is>
          <t>Agency</t>
        </is>
      </c>
      <c r="C20" s="10" t="inlineStr">
        <is>
          <t>C</t>
        </is>
      </c>
      <c r="D20" s="10" t="n"/>
      <c r="E20" s="10" t="inlineStr">
        <is>
          <t>Real-estate agency: competes with the partner agency (decision D9)</t>
        </is>
      </c>
    </row>
    <row r="21">
      <c r="A21" s="10" t="inlineStr">
        <is>
          <t>Quintela &amp; Penalva</t>
        </is>
      </c>
      <c r="B21" s="10" t="inlineStr">
        <is>
          <t>Agency</t>
        </is>
      </c>
      <c r="C21" s="10" t="inlineStr">
        <is>
          <t>A</t>
        </is>
      </c>
      <c r="D21" s="10" t="inlineStr">
        <is>
          <t>https://www.idealista.pt/news/node/26913</t>
        </is>
      </c>
      <c r="E21" s="10" t="inlineStr">
        <is>
          <t>Real-estate agency: competes with the partner agency (decision D9)</t>
        </is>
      </c>
    </row>
    <row r="22">
      <c r="A22" s="10" t="inlineStr">
        <is>
          <t>RE/MAX Alcateia</t>
        </is>
      </c>
      <c r="B22" s="10" t="inlineStr">
        <is>
          <t>Agency</t>
        </is>
      </c>
      <c r="C22" s="10" t="inlineStr">
        <is>
          <t>A</t>
        </is>
      </c>
      <c r="D22" s="10" t="inlineStr">
        <is>
          <t>https://investnews.com.br/financas/entre-estrangeiros-brasileiros-lideram-busca-por-imoveis-de-luxo-em-pontos-nobres-de-portugal/amp/</t>
        </is>
      </c>
      <c r="E22" s="10" t="inlineStr">
        <is>
          <t>Real-estate agency: competes with the partner agency (decision D9)</t>
        </is>
      </c>
    </row>
    <row r="23">
      <c r="A23" s="10" t="inlineStr">
        <is>
          <t>RE/MAX Portugal (central)</t>
        </is>
      </c>
      <c r="B23" s="10" t="inlineStr">
        <is>
          <t>Agency network</t>
        </is>
      </c>
      <c r="C23" s="10" t="inlineStr">
        <is>
          <t>C</t>
        </is>
      </c>
      <c r="D23" s="10" t="n"/>
      <c r="E23" s="10" t="inlineStr">
        <is>
          <t>Real-estate agency: competes with the partner agency (decision D9)</t>
        </is>
      </c>
    </row>
    <row r="24">
      <c r="A24" s="10" t="inlineStr">
        <is>
          <t>Stay Properties</t>
        </is>
      </c>
      <c r="B24" s="10" t="inlineStr">
        <is>
          <t>Agency / rentals</t>
        </is>
      </c>
      <c r="C24" s="10" t="inlineStr">
        <is>
          <t>A</t>
        </is>
      </c>
      <c r="D24" s="10" t="inlineStr">
        <is>
          <t>https://www.idealista.pt/news/node/26913</t>
        </is>
      </c>
      <c r="E24" s="10" t="inlineStr">
        <is>
          <t>Real-estate agency: competes with the partner agency (decision D9)</t>
        </is>
      </c>
    </row>
    <row r="25">
      <c r="A25" s="10" t="inlineStr">
        <is>
          <t>Zome</t>
        </is>
      </c>
      <c r="B25" s="10" t="inlineStr">
        <is>
          <t>Agency network</t>
        </is>
      </c>
      <c r="C25" s="10" t="inlineStr">
        <is>
          <t>C</t>
        </is>
      </c>
      <c r="D25" s="10" t="n"/>
      <c r="E25" s="10" t="inlineStr">
        <is>
          <t>Real-estate agency: competes with the partner agency (decision D9)</t>
        </is>
      </c>
    </row>
    <row r="26">
      <c r="A26" s="10" t="inlineStr">
        <is>
          <t>immoabroad</t>
        </is>
      </c>
      <c r="B26" s="10" t="inlineStr">
        <is>
          <t>Portal / agency</t>
        </is>
      </c>
      <c r="C26" s="10" t="inlineStr">
        <is>
          <t>B</t>
        </is>
      </c>
      <c r="D26" s="10" t="inlineStr">
        <is>
          <t>https://www.immoabroad.com/portugal/buying-a-house-in-portugal-full-guide-for-foreigners-2025</t>
        </is>
      </c>
      <c r="E26" s="10" t="inlineStr">
        <is>
          <t>Real-estate agency: competes with the partner agency (decision D9)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8" customWidth="1" min="3" max="3"/>
  </cols>
  <sheetData>
    <row r="1">
      <c r="A1" s="20" t="inlineStr">
        <is>
          <t>Settings: edit the yellow cells; every value in the workbook updates</t>
        </is>
      </c>
    </row>
    <row r="3">
      <c r="A3" s="3" t="inlineStr">
        <is>
          <t>Offer type</t>
        </is>
      </c>
      <c r="B3" s="3" t="inlineStr">
        <is>
          <t>Price year 1 (€)</t>
        </is>
      </c>
      <c r="C3" s="3" t="inlineStr">
        <is>
          <t>Basis</t>
        </is>
      </c>
    </row>
    <row r="4">
      <c r="A4" s="4" t="inlineStr">
        <is>
          <t>Gold</t>
        </is>
      </c>
      <c r="B4" s="21" t="n">
        <v>4800</v>
      </c>
      <c r="C4" s="4" t="inlineStr">
        <is>
          <t>8,000 €/yr list price, 40% founding discount</t>
        </is>
      </c>
    </row>
    <row r="5">
      <c r="A5" s="4" t="inlineStr">
        <is>
          <t>Silver</t>
        </is>
      </c>
      <c r="B5" s="21" t="n">
        <v>1800</v>
      </c>
      <c r="C5" s="4" t="inlineStr">
        <is>
          <t>3,000 €/yr list, 40% founding discount</t>
        </is>
      </c>
    </row>
    <row r="6">
      <c r="A6" s="4" t="inlineStr">
        <is>
          <t>Bronze</t>
        </is>
      </c>
      <c r="B6" s="21" t="n">
        <v>540</v>
      </c>
      <c r="C6" s="4" t="inlineStr">
        <is>
          <t>900 €/yr list, 40% founding discount</t>
        </is>
      </c>
    </row>
    <row r="7">
      <c r="A7" s="4" t="inlineStr">
        <is>
          <t>Campaign</t>
        </is>
      </c>
      <c r="B7" s="21" t="n">
        <v>1500</v>
      </c>
      <c r="C7" s="4" t="inlineStr">
        <is>
          <t>One developer campaign</t>
        </is>
      </c>
    </row>
    <row r="8">
      <c r="A8" s="4" t="inlineStr">
        <is>
          <t>Featured listings</t>
        </is>
      </c>
      <c r="B8" s="21" t="n">
        <v>1200</v>
      </c>
      <c r="C8" s="4" t="inlineStr">
        <is>
          <t>~5 listings x 12 months at reduced pilot rate</t>
        </is>
      </c>
    </row>
    <row r="9">
      <c r="A9" s="4" t="inlineStr">
        <is>
          <t>Affiliate</t>
        </is>
      </c>
      <c r="B9" s="21" t="n">
        <v>600</v>
      </c>
      <c r="C9" s="4" t="inlineStr">
        <is>
          <t>Estimated affiliate income per year</t>
        </is>
      </c>
    </row>
    <row r="10">
      <c r="A10" s="4" t="inlineStr">
        <is>
          <t>Affiliate + sponsor</t>
        </is>
      </c>
      <c r="B10" s="21" t="n">
        <v>1800</v>
      </c>
      <c r="C10" s="4" t="inlineStr">
        <is>
          <t>Affiliate income plus a Silver slot</t>
        </is>
      </c>
    </row>
    <row r="11">
      <c r="A11" s="4" t="inlineStr">
        <is>
          <t>Verified Partner</t>
        </is>
      </c>
      <c r="B11" s="21" t="n">
        <v>1080</v>
      </c>
      <c r="C11" s="4" t="inlineStr">
        <is>
          <t>v3 proposal: 1,800 € per edition per year, 40% founding discount</t>
        </is>
      </c>
    </row>
    <row r="12">
      <c r="A12" s="4" t="inlineStr">
        <is>
          <t>Featured Partner</t>
        </is>
      </c>
      <c r="B12" s="21" t="n">
        <v>2880</v>
      </c>
      <c r="C12" s="4" t="inlineStr">
        <is>
          <t>v3 proposal: 4,800 € per edition per year, 40% founding discount</t>
        </is>
      </c>
    </row>
    <row r="13">
      <c r="A13" s="4" t="inlineStr">
        <is>
          <t>Bank Partner</t>
        </is>
      </c>
      <c r="B13" s="21" t="n">
        <v>5400</v>
      </c>
      <c r="C13" s="4" t="inlineStr">
        <is>
          <t>v3 proposal: 9,000 to 15,000 € per year, founding price on the low end</t>
        </is>
      </c>
    </row>
    <row r="14">
      <c r="A14" s="4" t="inlineStr">
        <is>
          <t>Developer campaign</t>
        </is>
      </c>
      <c r="B14" s="21" t="n">
        <v>2500</v>
      </c>
      <c r="C14" s="4" t="inlineStr">
        <is>
          <t>v3 proposal: from 2,500 € per campaign</t>
        </is>
      </c>
    </row>
    <row r="15">
      <c r="A15" s="4" t="inlineStr">
        <is>
          <t>Private Partner</t>
        </is>
      </c>
      <c r="B15" s="21" t="n">
        <v>15000</v>
      </c>
      <c r="C15" s="4" t="inlineStr">
        <is>
          <t>v3 proposal (D33): 25,000 to 50,000 € per year, founding price on the low end</t>
        </is>
      </c>
    </row>
    <row r="17">
      <c r="A17" s="3" t="inlineStr">
        <is>
          <t>Close probability</t>
        </is>
      </c>
      <c r="B17" s="3" t="inlineStr">
        <is>
          <t>Value</t>
        </is>
      </c>
      <c r="C17" s="3" t="inlineStr">
        <is>
          <t>Meaning</t>
        </is>
      </c>
    </row>
    <row r="18">
      <c r="A18" s="4" t="inlineStr">
        <is>
          <t>Tier A, evidence 2022 or later</t>
        </is>
      </c>
      <c r="B18" s="22" t="n">
        <v>0.25</v>
      </c>
      <c r="C18" s="4" t="inlineStr">
        <is>
          <t>Proven recent spend on our audience</t>
        </is>
      </c>
    </row>
    <row r="19">
      <c r="A19" s="4" t="inlineStr">
        <is>
          <t>Tier A, older evidence</t>
        </is>
      </c>
      <c r="B19" s="22" t="n">
        <v>0.15</v>
      </c>
      <c r="C19" s="4" t="inlineStr">
        <is>
          <t>Proven spend before 2022; re-verify</t>
        </is>
      </c>
    </row>
    <row r="20">
      <c r="A20" s="4" t="inlineStr">
        <is>
          <t>Tier B</t>
        </is>
      </c>
      <c r="B20" s="22" t="n">
        <v>0.12</v>
      </c>
      <c r="C20" s="4" t="inlineStr">
        <is>
          <t>Serves our audience, no proof of spend</t>
        </is>
      </c>
    </row>
    <row r="21">
      <c r="A21" s="4" t="inlineStr">
        <is>
          <t>Tier C</t>
        </is>
      </c>
      <c r="B21" s="22" t="n">
        <v>0.04</v>
      </c>
      <c r="C21" s="4" t="inlineStr">
        <is>
          <t>Large or generic, long cycle</t>
        </is>
      </c>
    </row>
    <row r="22">
      <c r="A22" s="4" t="inlineStr">
        <is>
          <t>Bonus for small company</t>
        </is>
      </c>
      <c r="B22" s="22" t="n">
        <v>0.05</v>
      </c>
      <c r="C22" s="4" t="inlineStr">
        <is>
          <t>Owner decides fast</t>
        </is>
      </c>
    </row>
    <row r="24">
      <c r="A24" s="3" t="inlineStr">
        <is>
          <t>Size</t>
        </is>
      </c>
      <c r="B24" s="3" t="inlineStr">
        <is>
          <t>Speed factor</t>
        </is>
      </c>
      <c r="C24" s="3" t="inlineStr">
        <is>
          <t>Meaning</t>
        </is>
      </c>
    </row>
    <row r="25">
      <c r="A25" s="4" t="inlineStr">
        <is>
          <t>S</t>
        </is>
      </c>
      <c r="B25" s="23" t="n">
        <v>1.5</v>
      </c>
      <c r="C25" s="4" t="inlineStr">
        <is>
          <t>Small: decides in days</t>
        </is>
      </c>
    </row>
    <row r="26">
      <c r="A26" s="4" t="inlineStr">
        <is>
          <t>M</t>
        </is>
      </c>
      <c r="B26" s="23" t="n">
        <v>1</v>
      </c>
      <c r="C26" s="4" t="inlineStr">
        <is>
          <t>Mid-size: weeks</t>
        </is>
      </c>
    </row>
    <row r="27">
      <c r="A27" s="4" t="inlineStr">
        <is>
          <t>L</t>
        </is>
      </c>
      <c r="B27" s="23" t="n">
        <v>0.6</v>
      </c>
      <c r="C27" s="4" t="inlineStr">
        <is>
          <t>Large: months</t>
        </is>
      </c>
    </row>
    <row r="29">
      <c r="A29" s="2" t="inlineStr">
        <is>
          <t>Prices follow the current plan. If Daniel picks lower pre-launch pricing (decision D3), change column B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2026-10-26T13:52:25Z</dcterms:created>
  <dcterms:modified xmlns:dcterms="http://purl.org/dc/terms/" xmlns:xsi="http://www.w3.org/2001/XMLSchema-instance" xsi:type="dcterms:W3CDTF">2026-10-26T13:52:25Z</dcterms:modified>
</cp:coreProperties>
</file>
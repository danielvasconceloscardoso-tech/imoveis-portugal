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Pipeline A-B" sheetId="2" state="visible" r:id="rId4"/>
    <sheet name="Later (tier C)" sheetId="3" state="visible" r:id="rId5"/>
    <sheet name="This week's 40" sheetId="4" state="visible" r:id="rId6"/>
    <sheet name="Partners &amp; media" sheetId="5" state="visible" r:id="rId7"/>
    <sheet name="Exit buyers" sheetId="6" state="visible" r:id="rId8"/>
    <sheet name="Chambers &amp; embassies" sheetId="7" state="visible" r:id="rId9"/>
    <sheet name="Excluded (agencies)" sheetId="8" state="visible" r:id="rId10"/>
    <sheet name="Settings" sheetId="9" state="visible" r:id="rId11"/>
  </sheets>
  <definedNames>
    <definedName function="false" hidden="true" localSheetId="2" name="_xlnm._FilterDatabase" vbProcedure="false">'Later (tier C)'!$A$1:$V$70</definedName>
    <definedName function="false" hidden="true" localSheetId="1" name="_xlnm._FilterDatabase" vbProcedure="false">'Pipeline A-B'!$A$1:$V$107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<sst xmlns="http://schemas.openxmlformats.org/spreadsheetml/2006/main" count="3331" uniqueCount="1003">
  <si>
    <t xml:space="preserve">Sponsor pipeline v2: follow the money</t>
  </si>
  <si>
    <t xml:space="preserve">Built 24 Oct 2026. Tier A = proven spend on our audience; B = serves our audience; C = large/generic (parked).</t>
  </si>
  <si>
    <t xml:space="preserve">Companies</t>
  </si>
  <si>
    <t xml:space="preserve">Expected value (€)</t>
  </si>
  <si>
    <t xml:space="preserve">Won (€)</t>
  </si>
  <si>
    <t xml:space="preserve">Tier A</t>
  </si>
  <si>
    <t xml:space="preserve">Tier B</t>
  </si>
  <si>
    <t xml:space="preserve">Tier C (parked)</t>
  </si>
  <si>
    <t xml:space="preserve">Total</t>
  </si>
  <si>
    <t xml:space="preserve">Share of tier A + B</t>
  </si>
  <si>
    <t xml:space="preserve">Edition</t>
  </si>
  <si>
    <t xml:space="preserve">A + B companies</t>
  </si>
  <si>
    <t xml:space="preserve">LU</t>
  </si>
  <si>
    <t xml:space="preserve">FR</t>
  </si>
  <si>
    <t xml:space="preserve">CH</t>
  </si>
  <si>
    <t xml:space="preserve">BR</t>
  </si>
  <si>
    <t xml:space="preserve">US</t>
  </si>
  <si>
    <t xml:space="preserve">IL</t>
  </si>
  <si>
    <t xml:space="preserve">A company with several editions counts in each, so edition rows add up to more than the total.</t>
  </si>
  <si>
    <t xml:space="preserve">Status</t>
  </si>
  <si>
    <t xml:space="preserve">To contact</t>
  </si>
  <si>
    <t xml:space="preserve">Contacted</t>
  </si>
  <si>
    <t xml:space="preserve">Replied</t>
  </si>
  <si>
    <t xml:space="preserve">Call booked</t>
  </si>
  <si>
    <t xml:space="preserve">Proposal sent</t>
  </si>
  <si>
    <t xml:space="preserve">Won</t>
  </si>
  <si>
    <t xml:space="preserve">Lost</t>
  </si>
  <si>
    <t xml:space="preserve">ID</t>
  </si>
  <si>
    <t xml:space="preserve">Company</t>
  </si>
  <si>
    <t xml:space="preserve">Sector</t>
  </si>
  <si>
    <t xml:space="preserve">Editions</t>
  </si>
  <si>
    <t xml:space="preserve">Tier</t>
  </si>
  <si>
    <t xml:space="preserve">Size</t>
  </si>
  <si>
    <t xml:space="preserve">Evidence URL</t>
  </si>
  <si>
    <t xml:space="preserve">Evidence</t>
  </si>
  <si>
    <t xml:space="preserve">Evidence year</t>
  </si>
  <si>
    <t xml:space="preserve">Evidence check</t>
  </si>
  <si>
    <t xml:space="preserve">Who to reach</t>
  </si>
  <si>
    <t xml:space="preserve">Channel</t>
  </si>
  <si>
    <t xml:space="preserve">Offer</t>
  </si>
  <si>
    <t xml:space="preserve">Deal value year 1 (€)</t>
  </si>
  <si>
    <t xml:space="preserve">Close probability</t>
  </si>
  <si>
    <t xml:space="preserve">Priority score</t>
  </si>
  <si>
    <t xml:space="preserve">Next action</t>
  </si>
  <si>
    <t xml:space="preserve">Next action date</t>
  </si>
  <si>
    <t xml:space="preserve">Owner</t>
  </si>
  <si>
    <t xml:space="preserve">Capital origin</t>
  </si>
  <si>
    <t xml:space="preserve">S170</t>
  </si>
  <si>
    <t xml:space="preserve">Millennium bcp Private Banking</t>
  </si>
  <si>
    <t xml:space="preserve">Private banking / wealth / private client</t>
  </si>
  <si>
    <t xml:space="preserve">LU, FR, CH, BR, US, IL</t>
  </si>
  <si>
    <t xml:space="preserve">A</t>
  </si>
  <si>
    <t xml:space="preserve">L</t>
  </si>
  <si>
    <t xml:space="preserve">https://chambers.com/department/millennium-bcp-private-banks-high-net-worth-21:2699:174:1:249515</t>
  </si>
  <si>
    <t xml:space="preserve">Ranked by Chambers in private banking (High Net Worth).</t>
  </si>
  <si>
    <t xml:space="preserve">Search result, not opened</t>
  </si>
  <si>
    <t xml:space="preserve">Head of private clients / Portugal desk</t>
  </si>
  <si>
    <t xml:space="preserve">Website: millenniumbcp.pt</t>
  </si>
  <si>
    <t xml:space="preserve">Private Partner</t>
  </si>
  <si>
    <t xml:space="preserve">Not contacted</t>
  </si>
  <si>
    <t xml:space="preserve">Approach with brochure (D40)</t>
  </si>
  <si>
    <t xml:space="preserve">Partner</t>
  </si>
  <si>
    <t xml:space="preserve">not assessed</t>
  </si>
  <si>
    <t xml:space="preserve">S157</t>
  </si>
  <si>
    <t xml:space="preserve">Ando Living</t>
  </si>
  <si>
    <t xml:space="preserve">Developer (Comporta)</t>
  </si>
  <si>
    <t xml:space="preserve">https://www.idealista.pt/en/news/node/71011</t>
  </si>
  <si>
    <t xml:space="preserve">First Comporta project: 16 luxury villas for international buyers.</t>
  </si>
  <si>
    <t xml:space="preserve">Fundadores / vendas</t>
  </si>
  <si>
    <t xml:space="preserve">Website contact / LinkedIn</t>
  </si>
  <si>
    <t xml:space="preserve">Area placement (Prime)</t>
  </si>
  <si>
    <t xml:space="preserve">S156</t>
  </si>
  <si>
    <t xml:space="preserve">Herdade da Comporta</t>
  </si>
  <si>
    <t xml:space="preserve">https://www.idealista.pt/en/news/node/61843</t>
  </si>
  <si>
    <t xml:space="preserve">The estate bought by the Amorim family and partners; selling land for luxury tourism and residential projects.</t>
  </si>
  <si>
    <t xml:space="preserve">Administração / desenvolvimento</t>
  </si>
  <si>
    <t xml:space="preserve">Website: herdadedacomporta.pt</t>
  </si>
  <si>
    <t xml:space="preserve">S178</t>
  </si>
  <si>
    <t xml:space="preserve">OneMark Properties</t>
  </si>
  <si>
    <t xml:space="preserve">Developer (Lisbon, Grândola, Sines; Porto and Algarve planned)</t>
  </si>
  <si>
    <t xml:space="preserve">https://www.idealista.pt/news/node/75369</t>
  </si>
  <si>
    <t xml:space="preserve">Founded early 2026 by José Cardoso Botelho (ex-Vanguard CEO); 7 projects in study (ultraluxury, luxury, premium, flex living, mid); initial 100 M€; targets high-net-worth buyers incl. Gulf investors. Pre-launch: ideal Founding Partner</t>
  </si>
  <si>
    <t xml:space="preserve">Opened</t>
  </si>
  <si>
    <t xml:space="preserve">Founder / CEO</t>
  </si>
  <si>
    <t xml:space="preserve">Website: to confirm</t>
  </si>
  <si>
    <t xml:space="preserve">Area placement (Prime) + launch</t>
  </si>
  <si>
    <t xml:space="preserve">Private demo (prompt 26) then approach</t>
  </si>
  <si>
    <t xml:space="preserve">S159</t>
  </si>
  <si>
    <t xml:space="preserve">Vale do Lobo</t>
  </si>
  <si>
    <t xml:space="preserve">Developer (Algarve · Triângulo Dourado)</t>
  </si>
  <si>
    <t xml:space="preserve">https://www.idealista.pt/en/news/luxury-real-estate-in-portugal/2025/02/06/67912-vale-do-lobo-in-the-algarve-invests-over-eu200-million-in-luxury-homes</t>
  </si>
  <si>
    <t xml:space="preserve">Investing over 200 M€ in new luxury homes; The Residences at Vale do Lobo 40% reserved at groundbreaking.</t>
  </si>
  <si>
    <t xml:space="preserve">Direção de vendas internacionais</t>
  </si>
  <si>
    <t xml:space="preserve">Website: valedolobo.com</t>
  </si>
  <si>
    <t xml:space="preserve">S169</t>
  </si>
  <si>
    <t xml:space="preserve">Andersen Portugal</t>
  </si>
  <si>
    <t xml:space="preserve">Estruturação</t>
  </si>
  <si>
    <t xml:space="preserve">Todos os países · advogados em Portugal</t>
  </si>
  <si>
    <t xml:space="preserve">https://chambers.com/department/andersen-private-wealth-law-high-net-worth-21:2633:174:1:22620317</t>
  </si>
  <si>
    <t xml:space="preserve">Ranked in private wealth law.</t>
  </si>
  <si>
    <t xml:space="preserve">Private client</t>
  </si>
  <si>
    <t xml:space="preserve">Website: pt.andersen.com</t>
  </si>
  <si>
    <t xml:space="preserve">Journey checkpoint</t>
  </si>
  <si>
    <t xml:space="preserve">S166</t>
  </si>
  <si>
    <t xml:space="preserve">BTG Pactual</t>
  </si>
  <si>
    <t xml:space="preserve">Estruturação (×1.5)</t>
  </si>
  <si>
    <t xml:space="preserve">Brasil</t>
  </si>
  <si>
    <t xml:space="preserve">https://www.essential-business.pt/2019/12/08/btg-pactual-enters-portuguese-banking-market/</t>
  </si>
  <si>
    <t xml:space="preserve">Entered Portuguese banking; expanding European real estate.</t>
  </si>
  <si>
    <t xml:space="preserve">Wealth / Europa</t>
  </si>
  <si>
    <t xml:space="preserve">Website: btgpactual.com</t>
  </si>
  <si>
    <t xml:space="preserve">S168</t>
  </si>
  <si>
    <t xml:space="preserve">CMS Portugal</t>
  </si>
  <si>
    <t xml:space="preserve">https://cms.law/en/prt/news-information/cms-portugal-and-nuno-figueiroa-santos-highlighted-in-the-chambers-and-partners-high-net-worth-guide</t>
  </si>
  <si>
    <t xml:space="preserve">Highlighted in Chambers High Net Worth.</t>
  </si>
  <si>
    <t xml:space="preserve">Website: cms.law</t>
  </si>
  <si>
    <t xml:space="preserve">S173</t>
  </si>
  <si>
    <t xml:space="preserve">Cleerly</t>
  </si>
  <si>
    <t xml:space="preserve">Reforma em Portugal</t>
  </si>
  <si>
    <t xml:space="preserve">França</t>
  </si>
  <si>
    <t xml:space="preserve">https://cleerly.fr/retraite/portugal</t>
  </si>
  <si>
    <t xml:space="preserve">Wealth-management firm publishing guides on retiring to Portugal.</t>
  </si>
  <si>
    <t xml:space="preserve">Marketing</t>
  </si>
  <si>
    <t xml:space="preserve">Website: cleerly.fr</t>
  </si>
  <si>
    <t xml:space="preserve">S171</t>
  </si>
  <si>
    <t xml:space="preserve">Compassurance</t>
  </si>
  <si>
    <t xml:space="preserve">2.º pilar ao sair da Suíça</t>
  </si>
  <si>
    <t xml:space="preserve">Suíça</t>
  </si>
  <si>
    <t xml:space="preserve">https://compassurance.ch/retirer-2eme-pilier-quitter-suisse/</t>
  </si>
  <si>
    <t xml:space="preserve">Free expert audit of the 2nd pillar before leaving Switzerland: amount, net tax, canton strategy.</t>
  </si>
  <si>
    <t xml:space="preserve">Expert team</t>
  </si>
  <si>
    <t xml:space="preserve">Website: compassurance.ch</t>
  </si>
  <si>
    <t xml:space="preserve">S175</t>
  </si>
  <si>
    <t xml:space="preserve">Creative Planning International</t>
  </si>
  <si>
    <t xml:space="preserve">EUA</t>
  </si>
  <si>
    <t xml:space="preserve">https://creativeplanning.com/international/insights/financial-planning/9-critical-financial-planning-considerations-for-american-expats-living-in-portugal/</t>
  </si>
  <si>
    <t xml:space="preserve">US expat wealth services covering Portugal (households with US$500k+ in US assets).</t>
  </si>
  <si>
    <t xml:space="preserve">International team</t>
  </si>
  <si>
    <t xml:space="preserve">Website: creativeplanning.com</t>
  </si>
  <si>
    <t xml:space="preserve">S167</t>
  </si>
  <si>
    <t xml:space="preserve">Deloitte Legal | Telles</t>
  </si>
  <si>
    <t xml:space="preserve">https://www.deloitte.com/pt/pt/services/legal/blogs/news/deloitte-legal-telles-band-1-private-wealth-law.html</t>
  </si>
  <si>
    <t xml:space="preserve">Band 1 in private wealth law.</t>
  </si>
  <si>
    <t xml:space="preserve">Private wealth</t>
  </si>
  <si>
    <t xml:space="preserve">Website: deloitte.com/pt</t>
  </si>
  <si>
    <t xml:space="preserve">S174</t>
  </si>
  <si>
    <t xml:space="preserve">FRESH Legal</t>
  </si>
  <si>
    <t xml:space="preserve">Impostos nos EUA e em Portugal</t>
  </si>
  <si>
    <t xml:space="preserve">https://fresh-legal.com/us</t>
  </si>
  <si>
    <t xml:space="preserve">Cross-border US tax planning and filing; Lisbon office and Portuguese legal practice.</t>
  </si>
  <si>
    <t xml:space="preserve">Partners</t>
  </si>
  <si>
    <t xml:space="preserve">Website: fresh-legal.com</t>
  </si>
  <si>
    <t xml:space="preserve">S172</t>
  </si>
  <si>
    <t xml:space="preserve">Hagnéré Patrimoine</t>
  </si>
  <si>
    <t xml:space="preserve">https://www.hagnere-patrimoine.fr/gestion-de-patrimoine-expatrie-portugal</t>
  </si>
  <si>
    <t xml:space="preserve">Wealth adviser for French expatriates in Portugal: Franco-Portuguese tax, works with licensed Portuguese professionals.</t>
  </si>
  <si>
    <t xml:space="preserve">Founding partner</t>
  </si>
  <si>
    <t xml:space="preserve">Website: hagnere-patrimoine.fr</t>
  </si>
  <si>
    <t xml:space="preserve">S165</t>
  </si>
  <si>
    <t xml:space="preserve">Julius Baer</t>
  </si>
  <si>
    <t xml:space="preserve">https://www.essential-business.pt/2025/03/27/swiss-wealth-management-and-investment-bank-julius-baer-to-open-lisbon-office/</t>
  </si>
  <si>
    <t xml:space="preserve">Opened a Lisbon office in 2025 for Portugal-linked wealth clients.</t>
  </si>
  <si>
    <t xml:space="preserve">Head of Portugal desk</t>
  </si>
  <si>
    <t xml:space="preserve">Website: juliusbaer.com</t>
  </si>
  <si>
    <t xml:space="preserve">S161</t>
  </si>
  <si>
    <t xml:space="preserve">Krest</t>
  </si>
  <si>
    <t xml:space="preserve">Developer (Lisboa (Marvila))</t>
  </si>
  <si>
    <t xml:space="preserve">https://www.essential-business.pt/2025/11/21/krest-unveils-formoso-marvila-residential-development-in-lisbon/</t>
  </si>
  <si>
    <t xml:space="preserve">Formoso Marvila residential development unveiled in late 2025.</t>
  </si>
  <si>
    <t xml:space="preserve">Marketing e vendas</t>
  </si>
  <si>
    <t xml:space="preserve">Area placement (Strong)</t>
  </si>
  <si>
    <t xml:space="preserve">S176</t>
  </si>
  <si>
    <t xml:space="preserve">Taxbordr</t>
  </si>
  <si>
    <t xml:space="preserve">Impostos em Portugal (IFICI, não residentes)</t>
  </si>
  <si>
    <t xml:space="preserve">https://uk.trustpilot.com/review/taxbordr.com</t>
  </si>
  <si>
    <t xml:space="preserve">Portuguese tax advisers for international clients, rated on Trustpilot.</t>
  </si>
  <si>
    <t xml:space="preserve">Founders</t>
  </si>
  <si>
    <t xml:space="preserve">Website: taxbordr.com</t>
  </si>
  <si>
    <t xml:space="preserve">S177</t>
  </si>
  <si>
    <t xml:space="preserve">The Spectrum IFA Group</t>
  </si>
  <si>
    <t xml:space="preserve">Património e impostos</t>
  </si>
  <si>
    <t xml:space="preserve">https://spectrum-ifa.com/expat-financial-advice-in-portugal/</t>
  </si>
  <si>
    <t xml:space="preserve">Expat financial advice in Portugal: pensions, investments and tax planning.</t>
  </si>
  <si>
    <t xml:space="preserve">Portugal office</t>
  </si>
  <si>
    <t xml:space="preserve">Website: spectrum-ifa.com</t>
  </si>
  <si>
    <t xml:space="preserve">S162</t>
  </si>
  <si>
    <t xml:space="preserve">Vilamoura World</t>
  </si>
  <si>
    <t xml:space="preserve">Developer (Algarve · Vilamoura)</t>
  </si>
  <si>
    <t xml:space="preserve">https://luxuriousmagazine.com/vilamoura-world-new-residential-projects</t>
  </si>
  <si>
    <t xml:space="preserve">Two new residential projects with 214 villas and apartments in Vilamoura.</t>
  </si>
  <si>
    <t xml:space="preserve">Direção comercial</t>
  </si>
  <si>
    <t xml:space="preserve">S164</t>
  </si>
  <si>
    <t xml:space="preserve">Yard Properties</t>
  </si>
  <si>
    <t xml:space="preserve">Developer (Madeira · Funchal)</t>
  </si>
  <si>
    <t xml:space="preserve">https://www.dnoticias.pt/2024/11/13/427070-yard-properties-investe-no-funchal-com-projecto-residencial-de-luxo/</t>
  </si>
  <si>
    <t xml:space="preserve">Investing in a luxury residential project in Funchal.</t>
  </si>
  <si>
    <t xml:space="preserve">Administração</t>
  </si>
  <si>
    <t xml:space="preserve">S001</t>
  </si>
  <si>
    <t xml:space="preserve">ABANCA</t>
  </si>
  <si>
    <t xml:space="preserve">Bank</t>
  </si>
  <si>
    <t xml:space="preserve">M</t>
  </si>
  <si>
    <t xml:space="preserve">https://www.abanca.pt/pt/residentes-suica/</t>
  </si>
  <si>
    <t xml:space="preserve">Geneva branch with a dedicated contact for Portuguese residents; mortgages for homes in Portugal; CHF-to-Portugal transfers</t>
  </si>
  <si>
    <t xml:space="preserve">Fetched</t>
  </si>
  <si>
    <t xml:space="preserve">Marketing lead, non-resident / emigrant segment</t>
  </si>
  <si>
    <t xml:space="preserve">Website: abanca.pt</t>
  </si>
  <si>
    <t xml:space="preserve">Gold</t>
  </si>
  <si>
    <t xml:space="preserve">Email 1 (template in sponsors/METHOD.md) + LinkedIn request on day 2</t>
  </si>
  <si>
    <t xml:space="preserve">2026-10-26</t>
  </si>
  <si>
    <t xml:space="preserve">S002</t>
  </si>
  <si>
    <t xml:space="preserve">Banque BCP</t>
  </si>
  <si>
    <t xml:space="preserve">https://lusojornal.com/salao-do-imobiliario-e-do-investimento-portugues-muda-se-para-a-porte-de-champeret/</t>
  </si>
  <si>
    <t xml:space="preserve">Runs display ads on LusoJornal; sponsors community events (Lusopress 2023)</t>
  </si>
  <si>
    <t xml:space="preserve">Website: banquebcp.fr</t>
  </si>
  <si>
    <t xml:space="preserve">S003</t>
  </si>
  <si>
    <t xml:space="preserve">Cabinet d'Architecture Marcelo Moledo</t>
  </si>
  <si>
    <t xml:space="preserve">Architecture</t>
  </si>
  <si>
    <t xml:space="preserve">S</t>
  </si>
  <si>
    <t xml:space="preserve">https://lusopress.tv/wp-content/uploads/2023/07/lusopress_125.pdf</t>
  </si>
  <si>
    <t xml:space="preserve">Cover profile in Lusopress nº125; offices in Saint-Tropez and Viana do Castelo</t>
  </si>
  <si>
    <t xml:space="preserve">Owner or marketing lead</t>
  </si>
  <si>
    <t xml:space="preserve">Phone or email from company website, then LinkedIn</t>
  </si>
  <si>
    <t xml:space="preserve">Silver</t>
  </si>
  <si>
    <t xml:space="preserve">S004</t>
  </si>
  <si>
    <t xml:space="preserve">Campara (law firm)</t>
  </si>
  <si>
    <t xml:space="preserve">Law firm (Brazilian clients)</t>
  </si>
  <si>
    <t xml:space="preserve">https://www.eurodicas.com.br/conexao-europa-imoveis/</t>
  </si>
  <si>
    <t xml:space="preserve">Promoted with referral-style links on Eurodicas</t>
  </si>
  <si>
    <t xml:space="preserve">Managing partner or business development</t>
  </si>
  <si>
    <t xml:space="preserve">S005</t>
  </si>
  <si>
    <t xml:space="preserve">MC Avocats</t>
  </si>
  <si>
    <t xml:space="preserve">Law firm (France)</t>
  </si>
  <si>
    <t xml:space="preserve">Banner ad on LusoJornal</t>
  </si>
  <si>
    <t xml:space="preserve">S006</t>
  </si>
  <si>
    <t xml:space="preserve">Madeira Estate</t>
  </si>
  <si>
    <t xml:space="preserve">Relocation / residency</t>
  </si>
  <si>
    <t xml:space="preserve">BR, FR</t>
  </si>
  <si>
    <t xml:space="preserve">https://www.dnoticias.pt/2022/12/21/340949-o-processo-de-abertura-de-uma-conta-bancaria-em-portugal/</t>
  </si>
  <si>
    <t xml:space="preserve">Buys sponsored articles ('Patrocinado') in DNoticias</t>
  </si>
  <si>
    <t xml:space="preserve">S007</t>
  </si>
  <si>
    <t xml:space="preserve">Pedro Emanuel de Oliveira (law office)</t>
  </si>
  <si>
    <t xml:space="preserve">Law firm</t>
  </si>
  <si>
    <t xml:space="preserve">Profile in Lusopress nº125; Bordeaux and Porto</t>
  </si>
  <si>
    <t xml:space="preserve">S008</t>
  </si>
  <si>
    <t xml:space="preserve">Santander Totta</t>
  </si>
  <si>
    <t xml:space="preserve">FR, LU, CH</t>
  </si>
  <si>
    <t xml:space="preserve">https://www.santander.pt/portugueses-residentes-exterior</t>
  </si>
  <si>
    <t xml:space="preserve">Dedicated offer for Portuguese living abroad incl. home loans for main or second home; sponsored a community festival in Lyon</t>
  </si>
  <si>
    <t xml:space="preserve">Website: santander.pt</t>
  </si>
  <si>
    <t xml:space="preserve">S009</t>
  </si>
  <si>
    <t xml:space="preserve">Ebury</t>
  </si>
  <si>
    <t xml:space="preserve">FX (Brazil)</t>
  </si>
  <si>
    <t xml:space="preserve">B</t>
  </si>
  <si>
    <t xml:space="preserve">https://br.ebury.com/blog/vou-comprar-um-imovel-em-portugal-e-agora-como-faco-o-pagamento</t>
  </si>
  <si>
    <t xml:space="preserve">Blog on paying for Portuguese property from Brazil</t>
  </si>
  <si>
    <t xml:space="preserve">Search result</t>
  </si>
  <si>
    <t xml:space="preserve">Partnerships / affiliates manager</t>
  </si>
  <si>
    <t xml:space="preserve">Website: ebury.com</t>
  </si>
  <si>
    <t xml:space="preserve">2026-10-27</t>
  </si>
  <si>
    <t xml:space="preserve">S010</t>
  </si>
  <si>
    <t xml:space="preserve">Rio Credits</t>
  </si>
  <si>
    <t xml:space="preserve">Credit broker (France)</t>
  </si>
  <si>
    <t xml:space="preserve">https://lusopress.tv/wp-content/uploads/2018/12/10nomes10historias_3.pdf</t>
  </si>
  <si>
    <t xml:space="preserve">Featured in a Lusopress book; mortgages mainly for Portuguese clients in France. Check still active</t>
  </si>
  <si>
    <t xml:space="preserve">Partnerships or marketing lead</t>
  </si>
  <si>
    <t xml:space="preserve">S011</t>
  </si>
  <si>
    <t xml:space="preserve">Vallespir Advogados</t>
  </si>
  <si>
    <t xml:space="preserve">https://www.idealista.pt/news/node/26913</t>
  </si>
  <si>
    <t xml:space="preserve">Exhibitor, Paris Portuguese property fair (2015)</t>
  </si>
  <si>
    <t xml:space="preserve">S012</t>
  </si>
  <si>
    <t xml:space="preserve">AnchorLess</t>
  </si>
  <si>
    <t xml:space="preserve">Relocation / legal platform</t>
  </si>
  <si>
    <t xml:space="preserve">FR, BR</t>
  </si>
  <si>
    <t xml:space="preserve">https://anchorless.io/fr/partenaires/cafimo</t>
  </si>
  <si>
    <t xml:space="preserve">Relocation platform with a partner network</t>
  </si>
  <si>
    <t xml:space="preserve">S013</t>
  </si>
  <si>
    <t xml:space="preserve">Bleap</t>
  </si>
  <si>
    <t xml:space="preserve">FX / fintech</t>
  </si>
  <si>
    <t xml:space="preserve">https://www.bleap.finance/pt-br/blog/como-enviar-dinheiro-do-brasil-para-portugal</t>
  </si>
  <si>
    <t xml:space="preserve">Guide on sending money from Brazil to Portugal</t>
  </si>
  <si>
    <t xml:space="preserve">S014</t>
  </si>
  <si>
    <t xml:space="preserve">CRN Contabilidade</t>
  </si>
  <si>
    <t xml:space="preserve">Fiscal representative / accounting</t>
  </si>
  <si>
    <t xml:space="preserve">LU, FR, CH, BR</t>
  </si>
  <si>
    <t xml:space="preserve">https://crncontabilidade.pt/?p=21253</t>
  </si>
  <si>
    <t xml:space="preserve">Fiscal representative service for non-residents</t>
  </si>
  <si>
    <t xml:space="preserve">S015</t>
  </si>
  <si>
    <t xml:space="preserve">CV Assessoria Internacional</t>
  </si>
  <si>
    <t xml:space="preserve">Immigration advisory</t>
  </si>
  <si>
    <t xml:space="preserve">https://investnews.com.br/financas/entre-estrangeiros-brasileiros-lideram-busca-por-imoveis-de-luxo-em-pontos-nobres-de-portugal/amp/</t>
  </si>
  <si>
    <t xml:space="preserve">Quoted on Brazilian migrants to Portugal</t>
  </si>
  <si>
    <t xml:space="preserve">S016</t>
  </si>
  <si>
    <t xml:space="preserve">Cafimo</t>
  </si>
  <si>
    <t xml:space="preserve">Credit broker</t>
  </si>
  <si>
    <t xml:space="preserve">Financing in Portugal; partner of AnchorLess</t>
  </si>
  <si>
    <t xml:space="preserve">S017</t>
  </si>
  <si>
    <t xml:space="preserve">Cidadania e Visto</t>
  </si>
  <si>
    <t xml:space="preserve">Visa advisory</t>
  </si>
  <si>
    <t xml:space="preserve">https://www.cidadaniaevisto.com.br/blog/quanto-custa-mudanca-brasil-para-portugal</t>
  </si>
  <si>
    <t xml:space="preserve">Content for Brazilians moving to Portugal</t>
  </si>
  <si>
    <t xml:space="preserve">2026-10-28</t>
  </si>
  <si>
    <t xml:space="preserve">S018</t>
  </si>
  <si>
    <t xml:space="preserve">Euodia</t>
  </si>
  <si>
    <t xml:space="preserve">Succession services (France)</t>
  </si>
  <si>
    <t xml:space="preserve">https://www.euodia.fr/succession/portugal/</t>
  </si>
  <si>
    <t xml:space="preserve">Guide on Portuguese successions for French families</t>
  </si>
  <si>
    <t xml:space="preserve">Website: euodia.fr</t>
  </si>
  <si>
    <t xml:space="preserve">S019</t>
  </si>
  <si>
    <t xml:space="preserve">Groupe Sopinor</t>
  </si>
  <si>
    <t xml:space="preserve">Construction (Luxembourg)</t>
  </si>
  <si>
    <t xml:space="preserve">https://en.paperjam.lu/club/event/paperjam-10x6-decisao-the-portuguese-business-community-in-action</t>
  </si>
  <si>
    <t xml:space="preserve">Portuguese-led group; speaker at the Decisão/Paperjam event (10 Nov 2026)</t>
  </si>
  <si>
    <t xml:space="preserve">S020</t>
  </si>
  <si>
    <t xml:space="preserve">Portugal Residency Advisors</t>
  </si>
  <si>
    <t xml:space="preserve">Residency / legal</t>
  </si>
  <si>
    <t xml:space="preserve">https://www.portugalresidencyadvisors.com/pt-br/advogado-imobiliario-portugal/</t>
  </si>
  <si>
    <t xml:space="preserve">Brazilian-Portuguese pages on property lawyers</t>
  </si>
  <si>
    <t xml:space="preserve">S021</t>
  </si>
  <si>
    <t xml:space="preserve">Silva Avocat &amp; Partners</t>
  </si>
  <si>
    <t xml:space="preserve">Law firm (Paris/Lisbon)</t>
  </si>
  <si>
    <t xml:space="preserve">https://www.lemondedudroit.fr/vie-des-cabinets/102561-emilie-silva-fonde-silva-avocat-partners.html</t>
  </si>
  <si>
    <t xml:space="preserve">Founder admitted in Paris and Lisbon (Jan 2026)</t>
  </si>
  <si>
    <t xml:space="preserve">S022</t>
  </si>
  <si>
    <t xml:space="preserve">ibani</t>
  </si>
  <si>
    <t xml:space="preserve">FX / Swiss pension guides</t>
  </si>
  <si>
    <t xml:space="preserve">https://www.ibani.com/pt/guias/levantar-2-pilar-imovel-estrangeiro</t>
  </si>
  <si>
    <t xml:space="preserve">Portuguese-language guide on using the Swiss 2nd pillar to buy a home abroad; earns on FX margin</t>
  </si>
  <si>
    <t xml:space="preserve">Website: ibani.com</t>
  </si>
  <si>
    <t xml:space="preserve">S023</t>
  </si>
  <si>
    <t xml:space="preserve">Remessa Online</t>
  </si>
  <si>
    <t xml:space="preserve">FX / remittances</t>
  </si>
  <si>
    <t xml:space="preserve">https://www.eurodicas.com.br/comprar-casa-em-portugal/</t>
  </si>
  <si>
    <t xml:space="preserve">Affiliate links and reader discount on Eurodicas</t>
  </si>
  <si>
    <t xml:space="preserve">Website: remessaonline.com.br</t>
  </si>
  <si>
    <t xml:space="preserve">Affiliate + sponsor</t>
  </si>
  <si>
    <t xml:space="preserve">S024</t>
  </si>
  <si>
    <t xml:space="preserve">Caixa Geral de Depósitos</t>
  </si>
  <si>
    <t xml:space="preserve">LU, FR, CH</t>
  </si>
  <si>
    <t xml:space="preserve">https://hrportugal.sapo.pt/?p=230644</t>
  </si>
  <si>
    <t xml:space="preserve">Opened a Luxembourg rep office (Oct 2021) offering help buying property in Portugal; sponsors community events in France</t>
  </si>
  <si>
    <t xml:space="preserve">Website: cgd.pt</t>
  </si>
  <si>
    <t xml:space="preserve">S025</t>
  </si>
  <si>
    <t xml:space="preserve">Montepio</t>
  </si>
  <si>
    <t xml:space="preserve">Exhibited on the Lisbon stand at the Paris Portuguese property fair (2015). Old evidence: re-check</t>
  </si>
  <si>
    <t xml:space="preserve">LinkedIn (named role); general partnerships email as backup</t>
  </si>
  <si>
    <t xml:space="preserve">2026-10-29</t>
  </si>
  <si>
    <t xml:space="preserve">S026</t>
  </si>
  <si>
    <t xml:space="preserve">Quinta de Faro</t>
  </si>
  <si>
    <t xml:space="preserve">Developer</t>
  </si>
  <si>
    <t xml:space="preserve">Display ads on LusoJornal; project profile in Lusopress nº125</t>
  </si>
  <si>
    <t xml:space="preserve">Sales or marketing director</t>
  </si>
  <si>
    <t xml:space="preserve">LinkedIn (named role), then company email</t>
  </si>
  <si>
    <t xml:space="preserve">Campaign</t>
  </si>
  <si>
    <t xml:space="preserve">S027</t>
  </si>
  <si>
    <t xml:space="preserve">Serip Group</t>
  </si>
  <si>
    <t xml:space="preserve">Developer / builder</t>
  </si>
  <si>
    <t xml:space="preserve">Display ads on LusoJornal; promotional profile in Lusopress nº125 (Saint-Tropez builder with projects in Portugal)</t>
  </si>
  <si>
    <t xml:space="preserve">S028</t>
  </si>
  <si>
    <t xml:space="preserve">Vision Supra Partners</t>
  </si>
  <si>
    <t xml:space="preserve">Launched a Sesimbra project with Brazilian influencers to reach Brazilian buyers</t>
  </si>
  <si>
    <t xml:space="preserve">S029</t>
  </si>
  <si>
    <t xml:space="preserve">Cafpi</t>
  </si>
  <si>
    <t xml:space="preserve">https://www.mysweetimmo.com/2019/12/19/le-courtier-cafpi-simplante-au-portugal/</t>
  </si>
  <si>
    <t xml:space="preserve">French broker that opened in Portugal to finance French buyers</t>
  </si>
  <si>
    <t xml:space="preserve">S030</t>
  </si>
  <si>
    <t xml:space="preserve">Millennium bcp</t>
  </si>
  <si>
    <t xml:space="preserve">https://ind.millenniumbcp.pt/pt/Particulares/suamedida/utilisateurs-francais/Pages/REX_escolherMbcp.aspx</t>
  </si>
  <si>
    <t xml:space="preserve">French-language page for French users plus a section for Portuguese residents abroad</t>
  </si>
  <si>
    <t xml:space="preserve">S031</t>
  </si>
  <si>
    <t xml:space="preserve">Novo Banco</t>
  </si>
  <si>
    <t xml:space="preserve">https://lusopress.tv/wp-content/uploads/2025/12/Revista-142.pdf</t>
  </si>
  <si>
    <t xml:space="preserve">Now owned by France's BPCE (Lusopress, Dec 2025): natural angle for the French edition</t>
  </si>
  <si>
    <t xml:space="preserve">Website: novobanco.pt</t>
  </si>
  <si>
    <t xml:space="preserve">S032</t>
  </si>
  <si>
    <t xml:space="preserve">Banco Rendimento</t>
  </si>
  <si>
    <t xml:space="preserve">Bank / FX (Brazil)</t>
  </si>
  <si>
    <t xml:space="preserve">https://monitormercantil.com.br/mercado-imobili-rio-de-portugal-op-o-para-a-investidores-brasileiros/</t>
  </si>
  <si>
    <t xml:space="preserve">Partner of the Rio buyer event for Portuguese property</t>
  </si>
  <si>
    <t xml:space="preserve">S033</t>
  </si>
  <si>
    <t xml:space="preserve">Bordr</t>
  </si>
  <si>
    <t xml:space="preserve">NIF / tax representative</t>
  </si>
  <si>
    <t xml:space="preserve">Referral code on Eurodicas</t>
  </si>
  <si>
    <t xml:space="preserve">Website: bordr.com</t>
  </si>
  <si>
    <t xml:space="preserve">Affiliate</t>
  </si>
  <si>
    <t xml:space="preserve">2026-10-30</t>
  </si>
  <si>
    <t xml:space="preserve">S034</t>
  </si>
  <si>
    <t xml:space="preserve">CCA Law Firm</t>
  </si>
  <si>
    <t xml:space="preserve">S035</t>
  </si>
  <si>
    <t xml:space="preserve">Fidelidade</t>
  </si>
  <si>
    <t xml:space="preserve">Insurance</t>
  </si>
  <si>
    <t xml:space="preserve">Named supporter of Academia do Bacalhau de Paris (Lusopress nº125)</t>
  </si>
  <si>
    <t xml:space="preserve">Marketing lead, retail</t>
  </si>
  <si>
    <t xml:space="preserve">S036</t>
  </si>
  <si>
    <t xml:space="preserve">Império (Ageas Portugal)</t>
  </si>
  <si>
    <t xml:space="preserve">Supporter; covered gala costs for a Paris community event (Lusopress nº125)</t>
  </si>
  <si>
    <t xml:space="preserve">S037</t>
  </si>
  <si>
    <t xml:space="preserve">Martinez Echevarria &amp; Ferreira</t>
  </si>
  <si>
    <t xml:space="preserve">Partner of the Rio buyer event</t>
  </si>
  <si>
    <t xml:space="preserve">Website: martinezechevarria.com</t>
  </si>
  <si>
    <t xml:space="preserve">S038</t>
  </si>
  <si>
    <t xml:space="preserve">e-residence</t>
  </si>
  <si>
    <t xml:space="preserve">Referral link 'via=euro-dicas' on Eurodicas</t>
  </si>
  <si>
    <t xml:space="preserve">S039</t>
  </si>
  <si>
    <t xml:space="preserve">SEGURAJA</t>
  </si>
  <si>
    <t xml:space="preserve">Building materials / security</t>
  </si>
  <si>
    <t xml:space="preserve">Promotional profile in Lusopress nº125; Ponte de Lima and Antony (FR)</t>
  </si>
  <si>
    <t xml:space="preserve">Bronze</t>
  </si>
  <si>
    <t xml:space="preserve">S040</t>
  </si>
  <si>
    <t xml:space="preserve">ActivoBank</t>
  </si>
  <si>
    <t xml:space="preserve">https://www.eurodicas.com.br/como-financiar-imovel-em-portugal/</t>
  </si>
  <si>
    <t xml:space="preserve">Listed (unpaid) in Eurodicas mortgage guide for Brazilians</t>
  </si>
  <si>
    <t xml:space="preserve">S133</t>
  </si>
  <si>
    <t xml:space="preserve">BNI Europa (Banco de Negócios Internacional)</t>
  </si>
  <si>
    <t xml:space="preserve">https://www.doutorfinancas.pt/wp-content/uploads/2025/12/IC-000042_.pdf</t>
  </si>
  <si>
    <t xml:space="preserve">Lender tied to Doutor Finanças' credit-intermediary contract (Banco de Portugal reg. 0000420, list of lenders, Dec 2025): works through intermediaries; own non-resident mortgage page not reachable from here, to confirm (prompt 13)</t>
  </si>
  <si>
    <t xml:space="preserve">Marketing lead, mortgages / intermediary channel</t>
  </si>
  <si>
    <t xml:space="preserve">To research</t>
  </si>
  <si>
    <t xml:space="preserve">Find the non-resident mortgage page, then Email 1</t>
  </si>
  <si>
    <t xml:space="preserve">2026-11-09</t>
  </si>
  <si>
    <t xml:space="preserve">S132</t>
  </si>
  <si>
    <t xml:space="preserve">Banco BIC Português</t>
  </si>
  <si>
    <t xml:space="preserve">Lender tied to Doutor Finanças' credit-intermediary contract (Banco de Portugal reg. 0000420, list of lenders, Dec 2025): works through intermediaries; own non-resident mortgage page not reachable from here, to confirm (prompt 13); check whether it now belongs to ABANCA (S001)</t>
  </si>
  <si>
    <t xml:space="preserve">S041</t>
  </si>
  <si>
    <t xml:space="preserve">Banco CTT</t>
  </si>
  <si>
    <t xml:space="preserve">Email 1 + LinkedIn request on day 2</t>
  </si>
  <si>
    <t xml:space="preserve">2026-11-02</t>
  </si>
  <si>
    <t xml:space="preserve">S127</t>
  </si>
  <si>
    <t xml:space="preserve">BrightTax</t>
  </si>
  <si>
    <t xml:space="preserve">US expat tax</t>
  </si>
  <si>
    <t xml:space="preserve">https://brighttax.com/blog/can-americans-buy-property-in-portugal</t>
  </si>
  <si>
    <t xml:space="preserve">Guide for Americans buying in Portugal; sells US expat tax filing (prompt 10 benchmark)</t>
  </si>
  <si>
    <t xml:space="preserve">Website: brighttax.com</t>
  </si>
  <si>
    <t xml:space="preserve">S042</t>
  </si>
  <si>
    <t xml:space="preserve">ComparaJá</t>
  </si>
  <si>
    <t xml:space="preserve">Credit comparator / intermediary</t>
  </si>
  <si>
    <t xml:space="preserve">https://www.comparaja.pt/credito-habitacao/emigrantes</t>
  </si>
  <si>
    <t xml:space="preserve">Dedicated emigrant mortgage page; registered credit intermediary paid by partner banks</t>
  </si>
  <si>
    <t xml:space="preserve">S043</t>
  </si>
  <si>
    <t xml:space="preserve">Doutor Finanças</t>
  </si>
  <si>
    <t xml:space="preserve">Credit intermediary</t>
  </si>
  <si>
    <t xml:space="preserve">https://www.doutorfinancas.pt/creditos/credito-habitacao/credito-habitacao-e-emigracao-o-que-deve-saber/</t>
  </si>
  <si>
    <t xml:space="preserve">Content aimed at emigrants seeking mortgages</t>
  </si>
  <si>
    <t xml:space="preserve">S129</t>
  </si>
  <si>
    <t xml:space="preserve">Golding &amp; Golding</t>
  </si>
  <si>
    <t xml:space="preserve">US international tax law</t>
  </si>
  <si>
    <t xml:space="preserve">https://www.goldinglawyers.com/tax-tips-for-portugal-based-americans-u-s-citizen-expats/</t>
  </si>
  <si>
    <t xml:space="preserve">Tax tips for Portugal-based Americans (FBAR, FATCA) (prompt 10 benchmark)</t>
  </si>
  <si>
    <t xml:space="preserve">Website: goldinglawyers.com</t>
  </si>
  <si>
    <t xml:space="preserve">S044</t>
  </si>
  <si>
    <t xml:space="preserve">GuestReady</t>
  </si>
  <si>
    <t xml:space="preserve">Rental management</t>
  </si>
  <si>
    <t xml:space="preserve">https://www.guestready.com/fr/conciergerie-airbnb/portugal/</t>
  </si>
  <si>
    <t xml:space="preserve">French page for Portugal rental management</t>
  </si>
  <si>
    <t xml:space="preserve">S131</t>
  </si>
  <si>
    <t xml:space="preserve">Just Arrived</t>
  </si>
  <si>
    <t xml:space="preserve">Expat services (Luxembourg)</t>
  </si>
  <si>
    <t xml:space="preserve">https://www.justarrived.lu/pt/</t>
  </si>
  <si>
    <t xml:space="preserve">Multilingual expat guide in PT/FR/EN for Luxembourg; partner-services model (prompt 10 benchmark)</t>
  </si>
  <si>
    <t xml:space="preserve">S045</t>
  </si>
  <si>
    <t xml:space="preserve">LVP Advogados</t>
  </si>
  <si>
    <t xml:space="preserve">https://www.lvpadvogados.com/pt</t>
  </si>
  <si>
    <t xml:space="preserve">Says it serves clients from 150+ countries investing in Portugal</t>
  </si>
  <si>
    <t xml:space="preserve">Website: lvpadvogados.com</t>
  </si>
  <si>
    <t xml:space="preserve">S126</t>
  </si>
  <si>
    <t xml:space="preserve">Remitly</t>
  </si>
  <si>
    <t xml:space="preserve">FX / transfers</t>
  </si>
  <si>
    <t xml:space="preserve">https://www.remitly.com/blog/immigration/buying-property-in-portugal/</t>
  </si>
  <si>
    <t xml:space="preserve">Guide 'Buying property in Portugal as a foreigner or American' (prompt 10 benchmark); earns on transfers</t>
  </si>
  <si>
    <t xml:space="preserve">Website: remitly.com</t>
  </si>
  <si>
    <t xml:space="preserve">S046</t>
  </si>
  <si>
    <t xml:space="preserve">Smargiassi</t>
  </si>
  <si>
    <t xml:space="preserve">Law firm (Brazil)</t>
  </si>
  <si>
    <t xml:space="preserve">https://smargiassi.com.br/lp/portugal/</t>
  </si>
  <si>
    <t xml:space="preserve">Portugal landing page suggests paid campaigns: verify in Meta Ad Library</t>
  </si>
  <si>
    <t xml:space="preserve">S047</t>
  </si>
  <si>
    <t xml:space="preserve">Solutis</t>
  </si>
  <si>
    <t xml:space="preserve">https://www.solutis.fr/investir-au-portugal.html</t>
  </si>
  <si>
    <t xml:space="preserve">Finances purchases in Portugal against French property; free eligibility study</t>
  </si>
  <si>
    <t xml:space="preserve">S130</t>
  </si>
  <si>
    <t xml:space="preserve">Wealth management (France)</t>
  </si>
  <si>
    <t xml:space="preserve">Guide 'Investir au Portugal' for French investors (prompt 10 benchmark)</t>
  </si>
  <si>
    <t xml:space="preserve">S128</t>
  </si>
  <si>
    <t xml:space="preserve">Taxes for Expats</t>
  </si>
  <si>
    <t xml:space="preserve">https://www.taxesforexpats.com/country-guides/portugal/buying-property-in-portugal-as-an-american.html</t>
  </si>
  <si>
    <t xml:space="preserve">Guide on taxes, rules and process for Americans buying in Portugal (prompt 10 benchmark)</t>
  </si>
  <si>
    <t xml:space="preserve">Website: taxesforexpats.com</t>
  </si>
  <si>
    <t xml:space="preserve">S048</t>
  </si>
  <si>
    <t xml:space="preserve">UCI</t>
  </si>
  <si>
    <t xml:space="preserve">Mortgage lender</t>
  </si>
  <si>
    <t xml:space="preserve">S049</t>
  </si>
  <si>
    <t xml:space="preserve">Verspieren Portugal</t>
  </si>
  <si>
    <t xml:space="preserve">Insurance broker</t>
  </si>
  <si>
    <t xml:space="preserve">https://www.verspieren.com/sites/default/files/2019-11/Communique_Presse_Lancement_Verspieren%20Portugal.pdf</t>
  </si>
  <si>
    <t xml:space="preserve">French broker launched in Portugal</t>
  </si>
  <si>
    <t xml:space="preserve">S151</t>
  </si>
  <si>
    <t xml:space="preserve">Shalu Investments</t>
  </si>
  <si>
    <t xml:space="preserve">IL, US</t>
  </si>
  <si>
    <t xml:space="preserve">https://www.essential-business.pt/2025/10/03/shalu-invests-e100-million-in-luxury-porto-project/</t>
  </si>
  <si>
    <t xml:space="preserve">Israeli developer; 100 M€ O'rizon Living on the Douro (about 200 apartments, five buildings, Valbom in Gondomar), launched with Dils and Réplica (Oct 2025). Target buyers not stated: no proof yet of spend on foreign buyers</t>
  </si>
  <si>
    <t xml:space="preserve">2026-11-03</t>
  </si>
  <si>
    <t xml:space="preserve">Israel</t>
  </si>
  <si>
    <t xml:space="preserve">S152</t>
  </si>
  <si>
    <t xml:space="preserve">Taga Urbanic</t>
  </si>
  <si>
    <t xml:space="preserve">https://www.essential-business.pt/?p=21799</t>
  </si>
  <si>
    <t xml:space="preserve">Israeli group, in Portugal since 2018, 19 developments and about 2,000 homes in Porto, Gaia, Maia and Setúbal; Sal D'Ouro in Gaia (60 M€, 200 homes) aimed at the middle and upper-middle classes and foreign buyers (Apr 2023). Also builds in Israel, the UK, Germany and the US</t>
  </si>
  <si>
    <t xml:space="preserve">S153</t>
  </si>
  <si>
    <t xml:space="preserve">Youropa</t>
  </si>
  <si>
    <t xml:space="preserve">https://econews.pt/?p=47234</t>
  </si>
  <si>
    <t xml:space="preserve">Israeli group; opened a Porto office on 15 May 2026; five own developments (80 M€ in sales), seven more being marketed, six projects delivered in 2026. It also resells and rents units: check it does not operate as an agency (D9) before contact</t>
  </si>
  <si>
    <t xml:space="preserve">S050</t>
  </si>
  <si>
    <t xml:space="preserve">Abreu Advogados</t>
  </si>
  <si>
    <t xml:space="preserve">Website: abreuadvogados.com</t>
  </si>
  <si>
    <t xml:space="preserve">S051</t>
  </si>
  <si>
    <t xml:space="preserve">Artys Interiores</t>
  </si>
  <si>
    <t xml:space="preserve">Interior design</t>
  </si>
  <si>
    <t xml:space="preserve">S052</t>
  </si>
  <si>
    <t xml:space="preserve">PLMJ</t>
  </si>
  <si>
    <t xml:space="preserve">Website: plmj.com</t>
  </si>
  <si>
    <t xml:space="preserve">S053</t>
  </si>
  <si>
    <t xml:space="preserve">Quantico</t>
  </si>
  <si>
    <t xml:space="preserve">Real estate (to confirm)</t>
  </si>
  <si>
    <t xml:space="preserve">Exhibitor, Paris Portuguese property fair (2015). Confirm what the company does</t>
  </si>
  <si>
    <t xml:space="preserve">S054</t>
  </si>
  <si>
    <t xml:space="preserve">Cyril Jarnias</t>
  </si>
  <si>
    <t xml:space="preserve">Consultant (France→Portugal)</t>
  </si>
  <si>
    <t xml:space="preserve">https://www.cyriljarnias.fr/?p=22969</t>
  </si>
  <si>
    <t xml:space="preserve">Consultant for French buyers in Portugal</t>
  </si>
  <si>
    <t xml:space="preserve">S055</t>
  </si>
  <si>
    <t xml:space="preserve">Europackers</t>
  </si>
  <si>
    <t xml:space="preserve">Moving Brazil–Portugal</t>
  </si>
  <si>
    <t xml:space="preserve">https://www.cidadaniaevisto.com.br/blog/container-brasil-para-portugal-como-funciona</t>
  </si>
  <si>
    <t xml:space="preserve">Mover on the Brazil–Portugal route. Public complaints exist: vet before accepting</t>
  </si>
  <si>
    <t xml:space="preserve">S056</t>
  </si>
  <si>
    <t xml:space="preserve">Juramentei</t>
  </si>
  <si>
    <t xml:space="preserve">Sworn translation</t>
  </si>
  <si>
    <t xml:space="preserve">Listed as Eurodicas partner site (document translation for buyers)</t>
  </si>
  <si>
    <t xml:space="preserve">S057</t>
  </si>
  <si>
    <t xml:space="preserve">Relocation (Luxembourg)</t>
  </si>
  <si>
    <t xml:space="preserve">https://www.justarrived.lu/pt/services-partenaires/demenager</t>
  </si>
  <si>
    <t xml:space="preserve">Portuguese-language relocation services in Luxembourg</t>
  </si>
  <si>
    <t xml:space="preserve">S058</t>
  </si>
  <si>
    <t xml:space="preserve">OnBoard Advisory</t>
  </si>
  <si>
    <t xml:space="preserve">Advisory (Luxembourg)</t>
  </si>
  <si>
    <t xml:space="preserve">Speaker at the Decisão/Paperjam Portuguese business event</t>
  </si>
  <si>
    <t xml:space="preserve">S059</t>
  </si>
  <si>
    <t xml:space="preserve">Zen Architecture</t>
  </si>
  <si>
    <t xml:space="preserve">Architecture (Luxembourg)</t>
  </si>
  <si>
    <t xml:space="preserve">Portuguese-founded; speaker at the Decisão/Paperjam Portuguese business event (10 Nov 2026)</t>
  </si>
  <si>
    <t xml:space="preserve">S060</t>
  </si>
  <si>
    <t xml:space="preserve">BDO Portugal</t>
  </si>
  <si>
    <t xml:space="preserve">Tax / accounting</t>
  </si>
  <si>
    <t xml:space="preserve">https://www.bdo.pt/getattachment/976e2ae4-5f6d-4174-b76e-23bf21d7c475/Guia-Investir-au-Portugal-25_9_Compress.pdf</t>
  </si>
  <si>
    <t xml:space="preserve">French-language 'Investir au Portugal' guide</t>
  </si>
  <si>
    <t xml:space="preserve">S061</t>
  </si>
  <si>
    <t xml:space="preserve">Banco BPI</t>
  </si>
  <si>
    <t xml:space="preserve">2026-11-04</t>
  </si>
  <si>
    <t xml:space="preserve">S062</t>
  </si>
  <si>
    <t xml:space="preserve">Cofidis Portugal</t>
  </si>
  <si>
    <t xml:space="preserve">Credit</t>
  </si>
  <si>
    <t xml:space="preserve">https://contasconnosco.cofidis.pt/credito/e-emigrante-e-quer-fazer-um-credito-habitacao-em-portugal</t>
  </si>
  <si>
    <t xml:space="preserve">Content for emigrants about mortgages</t>
  </si>
  <si>
    <t xml:space="preserve">S063</t>
  </si>
  <si>
    <t xml:space="preserve">Crédito Agrícola</t>
  </si>
  <si>
    <t xml:space="preserve">https://ca-ql.creditoagricola.pt/institucional/international-v2</t>
  </si>
  <si>
    <t xml:space="preserve">International page; strong in the regions emigrants come from</t>
  </si>
  <si>
    <t xml:space="preserve">S064</t>
  </si>
  <si>
    <t xml:space="preserve">Fieldfisher Portugal</t>
  </si>
  <si>
    <t xml:space="preserve">https://www.fieldfisher.com/pt-pt/people/franck-mattos</t>
  </si>
  <si>
    <t xml:space="preserve">French-speaking real-estate lawyers in Portugal</t>
  </si>
  <si>
    <t xml:space="preserve">S065</t>
  </si>
  <si>
    <t xml:space="preserve">Meilleurtaux</t>
  </si>
  <si>
    <t xml:space="preserve">https://www.meilleurtaux.com/credit-immobilier/actualites/2020-juillet/portugal-terre-accueil-ideale-expatries-francais.html</t>
  </si>
  <si>
    <t xml:space="preserve">Content on Portugal for French buyers</t>
  </si>
  <si>
    <t xml:space="preserve">S066</t>
  </si>
  <si>
    <t xml:space="preserve">Miranda &amp; Associados</t>
  </si>
  <si>
    <t xml:space="preserve">https://mirandalawfirm.com/download/2729/aad470f4cb89c159ff1db5542b48660f/Guia%20Investir%20au%20Portugal%2025_9_Compress.pdf</t>
  </si>
  <si>
    <t xml:space="preserve">S067</t>
  </si>
  <si>
    <t xml:space="preserve">Wise</t>
  </si>
  <si>
    <t xml:space="preserve">Affiliate links on Eurodicas</t>
  </si>
  <si>
    <t xml:space="preserve">Website: wise.com</t>
  </si>
  <si>
    <t xml:space="preserve">S068</t>
  </si>
  <si>
    <t xml:space="preserve">Caixiave</t>
  </si>
  <si>
    <t xml:space="preserve">Windows / building</t>
  </si>
  <si>
    <t xml:space="preserve">https://www.caixiave.pt/fr/nouvelle/caixiave-salon-de-limmobilier-au-portugal-sil-2024</t>
  </si>
  <si>
    <t xml:space="preserve">French-language news page; exhibitor at SIL 2024</t>
  </si>
  <si>
    <t xml:space="preserve">S069</t>
  </si>
  <si>
    <t xml:space="preserve">Eurosender</t>
  </si>
  <si>
    <t xml:space="preserve">Moving / shipping</t>
  </si>
  <si>
    <t xml:space="preserve">CH, LU</t>
  </si>
  <si>
    <t xml:space="preserve">https://www.eurosender.com/pt/rr/mudancas/suica</t>
  </si>
  <si>
    <t xml:space="preserve">Portuguese pages for moves to Switzerland and Luxembourg</t>
  </si>
  <si>
    <t xml:space="preserve">S070</t>
  </si>
  <si>
    <t xml:space="preserve">Uniplaces</t>
  </si>
  <si>
    <t xml:space="preserve">Rentals</t>
  </si>
  <si>
    <t xml:space="preserve">https://www.uniplaces.com/city-explorer/aluguel-para-expatriados-em-portugal/</t>
  </si>
  <si>
    <t xml:space="preserve">Brazilian-Portuguese guide for expats renting</t>
  </si>
  <si>
    <t xml:space="preserve">S075</t>
  </si>
  <si>
    <t xml:space="preserve">Antas da Cunha Ecija</t>
  </si>
  <si>
    <t xml:space="preserve">Large or generic; no proof of spend on our audience</t>
  </si>
  <si>
    <t xml:space="preserve">Website: ecija.com</t>
  </si>
  <si>
    <t xml:space="preserve">Parked</t>
  </si>
  <si>
    <t xml:space="preserve">2026-12-01</t>
  </si>
  <si>
    <t xml:space="preserve">CEO</t>
  </si>
  <si>
    <t xml:space="preserve">S077</t>
  </si>
  <si>
    <t xml:space="preserve">Avenue</t>
  </si>
  <si>
    <t xml:space="preserve">S086</t>
  </si>
  <si>
    <t xml:space="preserve">Currencies Direct</t>
  </si>
  <si>
    <t xml:space="preserve">FX</t>
  </si>
  <si>
    <t xml:space="preserve">Website: currenciesdirect.com</t>
  </si>
  <si>
    <t xml:space="preserve">S121</t>
  </si>
  <si>
    <t xml:space="preserve">VIC Properties</t>
  </si>
  <si>
    <t xml:space="preserve">Website: vic-properties.com</t>
  </si>
  <si>
    <t xml:space="preserve">S123</t>
  </si>
  <si>
    <t xml:space="preserve">Vanguard Properties</t>
  </si>
  <si>
    <t xml:space="preserve">Website: vangproperties.com</t>
  </si>
  <si>
    <t xml:space="preserve">S071</t>
  </si>
  <si>
    <t xml:space="preserve">AGS Four Winds</t>
  </si>
  <si>
    <t xml:space="preserve">Moving</t>
  </si>
  <si>
    <t xml:space="preserve">C</t>
  </si>
  <si>
    <t xml:space="preserve">Revisit when 1,000 subscribers or a warm intro exists</t>
  </si>
  <si>
    <t xml:space="preserve">S150</t>
  </si>
  <si>
    <t xml:space="preserve">ARAG</t>
  </si>
  <si>
    <t xml:space="preserve">https://www.doutorfinancas.pt/seguro-vida-geral/</t>
  </si>
  <si>
    <t xml:space="preserve">Insurer listed as a partner by Doutor Finanças' insurance intermediary (Doutor Finanças Protege) (prompt 13); no proof of spend on our audience</t>
  </si>
  <si>
    <t xml:space="preserve">Marketing lead, intermediary / partnerships</t>
  </si>
  <si>
    <t xml:space="preserve">S072</t>
  </si>
  <si>
    <t xml:space="preserve">Allianz Portugal</t>
  </si>
  <si>
    <t xml:space="preserve">S073</t>
  </si>
  <si>
    <t xml:space="preserve">Allied Pickfords</t>
  </si>
  <si>
    <t xml:space="preserve">S074</t>
  </si>
  <si>
    <t xml:space="preserve">Altido</t>
  </si>
  <si>
    <t xml:space="preserve">S144</t>
  </si>
  <si>
    <t xml:space="preserve">April Portugal</t>
  </si>
  <si>
    <t xml:space="preserve">S146</t>
  </si>
  <si>
    <t xml:space="preserve">Asisa</t>
  </si>
  <si>
    <t xml:space="preserve">S076</t>
  </si>
  <si>
    <t xml:space="preserve">Atlantic Bridge</t>
  </si>
  <si>
    <t xml:space="preserve">Relocation (Brazil)</t>
  </si>
  <si>
    <t xml:space="preserve">S078</t>
  </si>
  <si>
    <t xml:space="preserve">BGL BNP Paribas</t>
  </si>
  <si>
    <t xml:space="preserve">Bank (Luxembourg)</t>
  </si>
  <si>
    <t xml:space="preserve">S079</t>
  </si>
  <si>
    <t xml:space="preserve">Banco Inter</t>
  </si>
  <si>
    <t xml:space="preserve">Bank (Brazil)</t>
  </si>
  <si>
    <t xml:space="preserve">S080</t>
  </si>
  <si>
    <t xml:space="preserve">Banco do Brasil (Portugal)</t>
  </si>
  <si>
    <t xml:space="preserve">S081</t>
  </si>
  <si>
    <t xml:space="preserve">Bankinter Portugal</t>
  </si>
  <si>
    <t xml:space="preserve">S082</t>
  </si>
  <si>
    <t xml:space="preserve">Banque Raiffeisen</t>
  </si>
  <si>
    <t xml:space="preserve">S147</t>
  </si>
  <si>
    <t xml:space="preserve">Bupa (Portugal)</t>
  </si>
  <si>
    <t xml:space="preserve">S083</t>
  </si>
  <si>
    <t xml:space="preserve">C6 Bank</t>
  </si>
  <si>
    <t xml:space="preserve">S084</t>
  </si>
  <si>
    <t xml:space="preserve">Caiado Guerreiro</t>
  </si>
  <si>
    <t xml:space="preserve">S141</t>
  </si>
  <si>
    <t xml:space="preserve">Caravela Seguros</t>
  </si>
  <si>
    <t xml:space="preserve">S085</t>
  </si>
  <si>
    <t xml:space="preserve">Cidadania4u</t>
  </si>
  <si>
    <t xml:space="preserve">Citizenship services</t>
  </si>
  <si>
    <t xml:space="preserve">S087</t>
  </si>
  <si>
    <t xml:space="preserve">Decisões e Soluções</t>
  </si>
  <si>
    <t xml:space="preserve">Credit / real estate network</t>
  </si>
  <si>
    <t xml:space="preserve">S088</t>
  </si>
  <si>
    <t xml:space="preserve">EDP Comercial</t>
  </si>
  <si>
    <t xml:space="preserve">Energy / solar</t>
  </si>
  <si>
    <t xml:space="preserve">S089</t>
  </si>
  <si>
    <t xml:space="preserve">Empruntis</t>
  </si>
  <si>
    <t xml:space="preserve">S145</t>
  </si>
  <si>
    <t xml:space="preserve">Europ Assistance</t>
  </si>
  <si>
    <t xml:space="preserve">S090</t>
  </si>
  <si>
    <t xml:space="preserve">Feels Like Home</t>
  </si>
  <si>
    <t xml:space="preserve">S091</t>
  </si>
  <si>
    <t xml:space="preserve">Fixando</t>
  </si>
  <si>
    <t xml:space="preserve">Services marketplace</t>
  </si>
  <si>
    <t xml:space="preserve">S154</t>
  </si>
  <si>
    <t xml:space="preserve">Fortera</t>
  </si>
  <si>
    <t xml:space="preserve">https://www.essential-business.pt/?p=16891</t>
  </si>
  <si>
    <t xml:space="preserve">Israeli developer; 500 M€ plan for about 1,000 homes in Greater Porto (Mar 2022), Skyline tower in Gaia. No evidence of marketing to foreign buyers, and it advertises an average 24% yield to investors, which our editorial policy does not let us repeat</t>
  </si>
  <si>
    <t xml:space="preserve">S092</t>
  </si>
  <si>
    <t xml:space="preserve">Foyer</t>
  </si>
  <si>
    <t xml:space="preserve">Insurance (Luxembourg)</t>
  </si>
  <si>
    <t xml:space="preserve">S093</t>
  </si>
  <si>
    <t xml:space="preserve">Galp Solar</t>
  </si>
  <si>
    <t xml:space="preserve">Solar</t>
  </si>
  <si>
    <t xml:space="preserve">S094</t>
  </si>
  <si>
    <t xml:space="preserve">Generali Tranquilidade</t>
  </si>
  <si>
    <t xml:space="preserve">S095</t>
  </si>
  <si>
    <t xml:space="preserve">Global Citizen Solutions</t>
  </si>
  <si>
    <t xml:space="preserve">Residency advisory</t>
  </si>
  <si>
    <t xml:space="preserve">S142</t>
  </si>
  <si>
    <t xml:space="preserve">Habit Seguros</t>
  </si>
  <si>
    <t xml:space="preserve">S096</t>
  </si>
  <si>
    <t xml:space="preserve">IKEA Portugal</t>
  </si>
  <si>
    <t xml:space="preserve">Home furnishing</t>
  </si>
  <si>
    <t xml:space="preserve">S097</t>
  </si>
  <si>
    <t xml:space="preserve">ING Luxembourg</t>
  </si>
  <si>
    <t xml:space="preserve">S143</t>
  </si>
  <si>
    <t xml:space="preserve">Innovarisk</t>
  </si>
  <si>
    <t xml:space="preserve">S098</t>
  </si>
  <si>
    <t xml:space="preserve">Internorte</t>
  </si>
  <si>
    <t xml:space="preserve">Coach travel</t>
  </si>
  <si>
    <t xml:space="preserve">S099</t>
  </si>
  <si>
    <t xml:space="preserve">JLL Portugal</t>
  </si>
  <si>
    <t xml:space="preserve">Real estate services</t>
  </si>
  <si>
    <t xml:space="preserve">S100</t>
  </si>
  <si>
    <t xml:space="preserve">JPS Group</t>
  </si>
  <si>
    <t xml:space="preserve">S101</t>
  </si>
  <si>
    <t xml:space="preserve">Kronos Homes</t>
  </si>
  <si>
    <t xml:space="preserve">S102</t>
  </si>
  <si>
    <t xml:space="preserve">Lalux</t>
  </si>
  <si>
    <t xml:space="preserve">S103</t>
  </si>
  <si>
    <t xml:space="preserve">Leroy Merlin Portugal</t>
  </si>
  <si>
    <t xml:space="preserve">DIY / renovation</t>
  </si>
  <si>
    <t xml:space="preserve">S104</t>
  </si>
  <si>
    <t xml:space="preserve">Lexidy</t>
  </si>
  <si>
    <t xml:space="preserve">S105</t>
  </si>
  <si>
    <t xml:space="preserve">MEO</t>
  </si>
  <si>
    <t xml:space="preserve">Telecom</t>
  </si>
  <si>
    <t xml:space="preserve">S149</t>
  </si>
  <si>
    <t xml:space="preserve">MGEN</t>
  </si>
  <si>
    <t xml:space="preserve">S134</t>
  </si>
  <si>
    <t xml:space="preserve">Mapfre</t>
  </si>
  <si>
    <t xml:space="preserve">S106</t>
  </si>
  <si>
    <t xml:space="preserve">Martins Castro</t>
  </si>
  <si>
    <t xml:space="preserve">S135</t>
  </si>
  <si>
    <t xml:space="preserve">MetLife</t>
  </si>
  <si>
    <t xml:space="preserve">S155</t>
  </si>
  <si>
    <t xml:space="preserve">Mondego Capital Partners</t>
  </si>
  <si>
    <t xml:space="preserve">Developer / investor</t>
  </si>
  <si>
    <t xml:space="preserve">https://www.essential-business.pt/?p=11819</t>
  </si>
  <si>
    <t xml:space="preserve">Porto-based; 45 M€ in luxury residential buildings in Lisbon (Chiado, Baixa, Marquês de Pombal), Jan 2021. Israeli link rests on a GRI Institute profile only; target buyers not stated</t>
  </si>
  <si>
    <t xml:space="preserve">Israel (to confirm)</t>
  </si>
  <si>
    <t xml:space="preserve">S107</t>
  </si>
  <si>
    <t xml:space="preserve">Moneycorp</t>
  </si>
  <si>
    <t xml:space="preserve">S108</t>
  </si>
  <si>
    <t xml:space="preserve">NOS</t>
  </si>
  <si>
    <t xml:space="preserve">S109</t>
  </si>
  <si>
    <t xml:space="preserve">Nomad</t>
  </si>
  <si>
    <t xml:space="preserve">Fintech (Brazil)</t>
  </si>
  <si>
    <t xml:space="preserve">S110</t>
  </si>
  <si>
    <t xml:space="preserve">Pestana Residences</t>
  </si>
  <si>
    <t xml:space="preserve">Developer / hospitality</t>
  </si>
  <si>
    <t xml:space="preserve">S111</t>
  </si>
  <si>
    <t xml:space="preserve">PostFinance</t>
  </si>
  <si>
    <t xml:space="preserve">Bank (Switzerland)</t>
  </si>
  <si>
    <t xml:space="preserve">S136</t>
  </si>
  <si>
    <t xml:space="preserve">Prévoir</t>
  </si>
  <si>
    <t xml:space="preserve">S112</t>
  </si>
  <si>
    <t xml:space="preserve">RFF Lawyers</t>
  </si>
  <si>
    <t xml:space="preserve">Law / tax</t>
  </si>
  <si>
    <t xml:space="preserve">S113</t>
  </si>
  <si>
    <t xml:space="preserve">Raiffeisen Suisse</t>
  </si>
  <si>
    <t xml:space="preserve">S137</t>
  </si>
  <si>
    <t xml:space="preserve">Real Vida Seguros</t>
  </si>
  <si>
    <t xml:space="preserve">S114</t>
  </si>
  <si>
    <t xml:space="preserve">Revolut</t>
  </si>
  <si>
    <t xml:space="preserve">Fintech</t>
  </si>
  <si>
    <t xml:space="preserve">S115</t>
  </si>
  <si>
    <t xml:space="preserve">SRS Legal</t>
  </si>
  <si>
    <t xml:space="preserve">S148</t>
  </si>
  <si>
    <t xml:space="preserve">Saúde Prime</t>
  </si>
  <si>
    <t xml:space="preserve">S116</t>
  </si>
  <si>
    <t xml:space="preserve">Spuerkeess</t>
  </si>
  <si>
    <t xml:space="preserve">S117</t>
  </si>
  <si>
    <t xml:space="preserve">Swiss Life</t>
  </si>
  <si>
    <t xml:space="preserve">Pensions (Switzerland)</t>
  </si>
  <si>
    <t xml:space="preserve">S118</t>
  </si>
  <si>
    <t xml:space="preserve">TAP Air Portugal</t>
  </si>
  <si>
    <t xml:space="preserve">Airline</t>
  </si>
  <si>
    <t xml:space="preserve">S119</t>
  </si>
  <si>
    <t xml:space="preserve">Taxx</t>
  </si>
  <si>
    <t xml:space="preserve">Tax returns (Luxembourg)</t>
  </si>
  <si>
    <t xml:space="preserve">S120</t>
  </si>
  <si>
    <t xml:space="preserve">Telles</t>
  </si>
  <si>
    <t xml:space="preserve">S138</t>
  </si>
  <si>
    <t xml:space="preserve">Una Seguros</t>
  </si>
  <si>
    <t xml:space="preserve">S122</t>
  </si>
  <si>
    <t xml:space="preserve">VZ VermögensZentrum</t>
  </si>
  <si>
    <t xml:space="preserve">Pension advice (Switzerland)</t>
  </si>
  <si>
    <t xml:space="preserve">S139</t>
  </si>
  <si>
    <t xml:space="preserve">Victoria Seguros</t>
  </si>
  <si>
    <t xml:space="preserve">S124</t>
  </si>
  <si>
    <t xml:space="preserve">XP Investimentos</t>
  </si>
  <si>
    <t xml:space="preserve">Investments (Brazil)</t>
  </si>
  <si>
    <t xml:space="preserve">S125</t>
  </si>
  <si>
    <t xml:space="preserve">Zaask</t>
  </si>
  <si>
    <t xml:space="preserve">S140</t>
  </si>
  <si>
    <t xml:space="preserve">Zurich Portugal</t>
  </si>
  <si>
    <t xml:space="preserve">#</t>
  </si>
  <si>
    <t xml:space="preserve">Send on</t>
  </si>
  <si>
    <t xml:space="preserve">Order is a snapshot of priority on 24 Oct 2026. Details update live from 'Pipeline A-B'; to re-rank, sort that sheet by Priority score.</t>
  </si>
  <si>
    <t xml:space="preserve">Organisation</t>
  </si>
  <si>
    <t xml:space="preserve">Why it matters</t>
  </si>
  <si>
    <t xml:space="preserve">CCIFP (Franco-Portuguese Chamber)</t>
  </si>
  <si>
    <t xml:space="preserve">Created the Paris Portuguese property fair; members are our FR sponsors</t>
  </si>
  <si>
    <t xml:space="preserve">https://www.idealista.pt/news/node/59586</t>
  </si>
  <si>
    <t xml:space="preserve">Ask for member directory and a joint webinar</t>
  </si>
  <si>
    <t xml:space="preserve">Salon de l'immobilier et de l'investissement portugais (Paris)</t>
  </si>
  <si>
    <t xml:space="preserve">~150 exhibitors and ~10,000 visitors per edition: the exhibitor list is a ready-made sponsor list</t>
  </si>
  <si>
    <t xml:space="preserve">Get the latest exhibitor list; visit next edition</t>
  </si>
  <si>
    <t xml:space="preserve">CCISSP (Swiss–Portuguese Chamber, Geneva)</t>
  </si>
  <si>
    <t xml:space="preserve">Organised a Portuguese property fair in Geneva (2020)</t>
  </si>
  <si>
    <t xml:space="preserve">https://www.idealista.pt/news/node/43936</t>
  </si>
  <si>
    <t xml:space="preserve">Ask for member directory and event partnership</t>
  </si>
  <si>
    <t xml:space="preserve">Chambre de Commerce Luxembourg</t>
  </si>
  <si>
    <t xml:space="preserve">Runs the Luxembourg–Portugal Business Forum</t>
  </si>
  <si>
    <t xml:space="preserve">https://cc.lu/agenda/detail/luxembourg-portugal-business-forum</t>
  </si>
  <si>
    <t xml:space="preserve">Attend the next forum</t>
  </si>
  <si>
    <t xml:space="preserve">Decisão magazine / Paperjam 10x6</t>
  </si>
  <si>
    <t xml:space="preserve">Portuguese business community in Luxembourg; event on 10 Nov 2026, Kinepolis Kirchberg</t>
  </si>
  <si>
    <t xml:space="preserve">Partner attends and collects contacts</t>
  </si>
  <si>
    <t xml:space="preserve">LusoJornal</t>
  </si>
  <si>
    <t xml:space="preserve">Weekly Franco-Portuguese paper; its advertisers are proven sponsors</t>
  </si>
  <si>
    <t xml:space="preserve">Content swap; monitor advertisers monthly</t>
  </si>
  <si>
    <t xml:space="preserve">Lusopress</t>
  </si>
  <si>
    <t xml:space="preserve">FR, PT</t>
  </si>
  <si>
    <t xml:space="preserve">Diaspora magazine; ad concession Boomerang – Multimédia e Comunicação</t>
  </si>
  <si>
    <t xml:space="preserve">Ask the ad concessionaire who buys diaspora ads</t>
  </si>
  <si>
    <t xml:space="preserve">Academia do Bacalhau de Paris</t>
  </si>
  <si>
    <t xml:space="preserve">Network of Portuguese business owners in Paris; sponsors include BCP, CGD, Fidelidade</t>
  </si>
  <si>
    <t xml:space="preserve">Introduction to members</t>
  </si>
  <si>
    <t xml:space="preserve">Rádio Alfa</t>
  </si>
  <si>
    <t xml:space="preserve">Portuguese radio in Paris; media supporter of community events</t>
  </si>
  <si>
    <t xml:space="preserve">Content swap / joint segment</t>
  </si>
  <si>
    <t xml:space="preserve">Rádio Latina</t>
  </si>
  <si>
    <t xml:space="preserve">Portuguese radio in Luxembourg</t>
  </si>
  <si>
    <t xml:space="preserve">https://en.paperjam.lu/guide/organisation/01276932145/radio-latina</t>
  </si>
  <si>
    <t xml:space="preserve">Contacto</t>
  </si>
  <si>
    <t xml:space="preserve">Portuguese newspaper in Luxembourg</t>
  </si>
  <si>
    <t xml:space="preserve">https://en.wikipedia.org/wiki/Contacto_(Luxembourg)</t>
  </si>
  <si>
    <t xml:space="preserve">Monitor advertisers; content swap</t>
  </si>
  <si>
    <t xml:space="preserve">Eurodicas</t>
  </si>
  <si>
    <t xml:space="preserve">Large Brazilian site on living in Portugal; its partners and affiliates are proven BR sponsors (competitor and channel)</t>
  </si>
  <si>
    <t xml:space="preserve">Monitor partners monthly</t>
  </si>
  <si>
    <t xml:space="preserve">Not sponsors: they give access to sponsors, audience or intelligence on who buys diaspora ads.</t>
  </si>
  <si>
    <t xml:space="preserve">Possible buyer</t>
  </si>
  <si>
    <t xml:space="preserve">Type</t>
  </si>
  <si>
    <t xml:space="preserve">Why they would buy</t>
  </si>
  <si>
    <t xml:space="preserve">idealista</t>
  </si>
  <si>
    <t xml:space="preserve">Portal</t>
  </si>
  <si>
    <t xml:space="preserve">Announced purchase of Kyero (international buyers) in 2024; deal abandoned in 2025 after CNMC conditions</t>
  </si>
  <si>
    <t xml:space="preserve">https://www.onlinemarketplaces.com/articles/idealistas-kyero-acquisition-cancelled-as-competition-authority-steps-in/</t>
  </si>
  <si>
    <t xml:space="preserve">Kyero</t>
  </si>
  <si>
    <t xml:space="preserve">Portal for international buyers</t>
  </si>
  <si>
    <t xml:space="preserve">Plans to reinvest in growth after the failed idealista deal</t>
  </si>
  <si>
    <t xml:space="preserve">Green-Acres</t>
  </si>
  <si>
    <t xml:space="preserve">Second-home portal</t>
  </si>
  <si>
    <t xml:space="preserve">56 countries, 20 languages; agency subscriptions</t>
  </si>
  <si>
    <t xml:space="preserve">https://www.luxinmo.com/portals/green-acres</t>
  </si>
  <si>
    <t xml:space="preserve">A Place in the Sun</t>
  </si>
  <si>
    <t xml:space="preserve">Overseas property media</t>
  </si>
  <si>
    <t xml:space="preserve">Same media + fairs model, UK audience</t>
  </si>
  <si>
    <t xml:space="preserve">https://www.aplaceinthesun.com/advertise/magazine</t>
  </si>
  <si>
    <t xml:space="preserve">Portugal Homes</t>
  </si>
  <si>
    <t xml:space="preserve">Agency for international buyers</t>
  </si>
  <si>
    <t xml:space="preserve">Would buy a ready audience of foreign buyers</t>
  </si>
  <si>
    <t xml:space="preserve">https://www.portugalhomes.com/pt/move-to-portugal/services/property-management</t>
  </si>
  <si>
    <t xml:space="preserve">Imovirtual</t>
  </si>
  <si>
    <t xml:space="preserve">Portuguese portal; diaspora audience is a gap</t>
  </si>
  <si>
    <t xml:space="preserve">Casa Sapo</t>
  </si>
  <si>
    <t xml:space="preserve">RE/MAX Portugal / ERA / Zome</t>
  </si>
  <si>
    <t xml:space="preserve">Agency networks</t>
  </si>
  <si>
    <t xml:space="preserve">Lead source for emigrant sellers and buyers</t>
  </si>
  <si>
    <t xml:space="preserve">LusoJornal / Lusopress</t>
  </si>
  <si>
    <t xml:space="preserve">Diaspora media</t>
  </si>
  <si>
    <t xml:space="preserve">Consolidation of diaspora media</t>
  </si>
  <si>
    <t xml:space="preserve">Country</t>
  </si>
  <si>
    <t xml:space="preserve">What they offer</t>
  </si>
  <si>
    <t xml:space="preserve">Public contact route</t>
  </si>
  <si>
    <t xml:space="preserve">Relevance</t>
  </si>
  <si>
    <t xml:space="preserve">AmCham Portugal (Câmara de Comércio Americana em Portugal)</t>
  </si>
  <si>
    <t xml:space="preserve">Chamber</t>
  </si>
  <si>
    <t xml:space="preserve">USA</t>
  </si>
  <si>
    <t xml:space="preserve">Private non-profit bilateral chamber, about 300 member companies; monthly newsletter; more than 40 events a year; 49 sponsors in Platinum, Gold and Silver tiers (own site)</t>
  </si>
  <si>
    <t xml:space="preserve">Contact form on the site (Contactos page)</t>
  </si>
  <si>
    <t xml:space="preserve">https://amchamportugal.pt</t>
  </si>
  <si>
    <t xml:space="preserve">High for the US edition: the one organisation that reaches US companies in Portugal</t>
  </si>
  <si>
    <t xml:space="preserve">Ask for sponsor and newsletter options; offer a labelled guest post</t>
  </si>
  <si>
    <t xml:space="preserve">British-Portuguese Chamber of Commerce (BPCC)</t>
  </si>
  <si>
    <t xml:space="preserve">United Kingdom</t>
  </si>
  <si>
    <t xml:space="preserve">Founded 1911, about 350 members, offices in Lisbon, the North and the Algarve; an advertising service and a mailing list (no prices published)</t>
  </si>
  <si>
    <t xml:space="preserve">Contacts page on the site</t>
  </si>
  <si>
    <t xml:space="preserve">https://bpcc.pt</t>
  </si>
  <si>
    <t xml:space="preserve">Low: there is no UK edition. Savills Portugal is a member (an agency, D9)</t>
  </si>
  <si>
    <t xml:space="preserve">Park until a UK edition exists</t>
  </si>
  <si>
    <t xml:space="preserve">Portuguese Chamber of Commerce in the UK (PCCUK)</t>
  </si>
  <si>
    <t xml:space="preserve">Runs the Moving to Portugal show and seminars with AICEP, four a year (London 26 Mar 2026; London 15 Oct 2026; Edinburgh 12 Nov 2026); free for visitors; exhibitors include resorts, banks, tax advisers</t>
  </si>
  <si>
    <t xml:space="preserve">Via the show's website or AICEP (public line on the Portugal Global page)</t>
  </si>
  <si>
    <t xml:space="preserve">https://portugalglobal.pt/en/news/2026/fevereiro/moving-to-portugal-show-and-seminars-returns-to-central-london</t>
  </si>
  <si>
    <t xml:space="preserve">Low: UK audience, no UK edition; useful as a model for a US show</t>
  </si>
  <si>
    <t xml:space="preserve">Park</t>
  </si>
  <si>
    <t xml:space="preserve">Portugal-China Chamber of Commerce and Industry (CCILC)</t>
  </si>
  <si>
    <t xml:space="preserve">China</t>
  </si>
  <si>
    <t xml:space="preserve">Lisbon chamber founded in 1978, about 200 member companies (undated EU SME Centre profile); a Sept 2026 item reports a new corporate member</t>
  </si>
  <si>
    <t xml:space="preserve">Via its website (not opened)</t>
  </si>
  <si>
    <t xml:space="preserve">https://www.eusmecentre.org.cn/partners/portugal-china-chamber-of-commerce-and-industry-ccilc</t>
  </si>
  <si>
    <t xml:space="preserve">Low: no Chinese edition and no current Chinese residential developer found</t>
  </si>
  <si>
    <t xml:space="preserve">Park; re-check if a Chinese-language edition is ever planned</t>
  </si>
  <si>
    <t xml:space="preserve">Portuguese-Israeli Chamber of Commerce (CCLI)</t>
  </si>
  <si>
    <t xml:space="preserve">Reported by Portugal Resident as a newly formed chamber that held a lunch in Porto for about 50 people; the article is undated and no current website was found</t>
  </si>
  <si>
    <t xml:space="preserve">Unknown</t>
  </si>
  <si>
    <t xml:space="preserve">https://www.portugalresident.com/chamber/</t>
  </si>
  <si>
    <t xml:space="preserve">High if it exists: the natural door to Israeli developers in Porto</t>
  </si>
  <si>
    <t xml:space="preserve">Daniel or the partner to confirm the chamber exists and who runs it</t>
  </si>
  <si>
    <t xml:space="preserve">U.S. Commercial Service, Embassy of the United States in Lisbon</t>
  </si>
  <si>
    <t xml:space="preserve">Embassy</t>
  </si>
  <si>
    <t xml:space="preserve">Helps US companies export to Portugal; office inside the embassy compound; the site lists a public office line and staff names that differ between pages</t>
  </si>
  <si>
    <t xml:space="preserve">Office contact on the trade.gov Portugal page</t>
  </si>
  <si>
    <t xml:space="preserve">https://www.trade.gov/portugal-contact-us</t>
  </si>
  <si>
    <t xml:space="preserve">Low: it serves US exporters, not buyers. Ask only whether it can share a note with US firms active in Portuguese real estate</t>
  </si>
  <si>
    <t xml:space="preserve">Formal introduction request, no logo or endorsement</t>
  </si>
  <si>
    <t xml:space="preserve">Embassy of the United Kingdom in Lisbon, Department for Business and Trade</t>
  </si>
  <si>
    <t xml:space="preserve">Directs UK companies that want to export or invest in Portugal to a public enquiries mailbox</t>
  </si>
  <si>
    <t xml:space="preserve">Public enquiries route on the gov.uk page</t>
  </si>
  <si>
    <t xml:space="preserve">https://www.gov.uk/world/organisations/british-embassy-lisbon/office/department-for-business-and-trade</t>
  </si>
  <si>
    <t xml:space="preserve">Low: no UK edition</t>
  </si>
  <si>
    <t xml:space="preserve">Embassy of Israel in Lisbon</t>
  </si>
  <si>
    <t xml:space="preserve">Public site with the embassy's departments and social accounts. No economic or trade section page was found; Israel's missions often have one inside the Foreign Trade Administration, but this is not confirmed for Lisbon</t>
  </si>
  <si>
    <t xml:space="preserve">Enquiry route on the embassy site</t>
  </si>
  <si>
    <t xml:space="preserve">https://embassies.gov.il/portugal/en</t>
  </si>
  <si>
    <t xml:space="preserve">Medium for the IL edition, once the economic section is identified</t>
  </si>
  <si>
    <t xml:space="preserve">Find the economic section (task for Daniel); then a formal introduction request</t>
  </si>
  <si>
    <t xml:space="preserve">Embassy of China in Lisbon, Economic and Commercial Counsellor's Office</t>
  </si>
  <si>
    <t xml:space="preserve">Mandate (2015 Ministry of Commerce page): promote bilateral trade and investment, advise firms, organise fairs and seminars; no public contact route found</t>
  </si>
  <si>
    <t xml:space="preserve">Via the embassy's official site (not opened)</t>
  </si>
  <si>
    <t xml:space="preserve">https://pt.mofcom.gov.cn/AboutUs/art/2015/art_1d0f6ff0306d46a1b7192aa708363bfb.html</t>
  </si>
  <si>
    <t xml:space="preserve">Low</t>
  </si>
  <si>
    <t xml:space="preserve">Introductions only: no endorsement requested, no embassy or chamber name or logo on our site or media kit. No personal emails are stored.</t>
  </si>
  <si>
    <t xml:space="preserve">Why excluded</t>
  </si>
  <si>
    <t xml:space="preserve">7 Adresses</t>
  </si>
  <si>
    <t xml:space="preserve">Agency</t>
  </si>
  <si>
    <t xml:space="preserve">Real-estate agency: competes with the partner agency (decision D9)</t>
  </si>
  <si>
    <t xml:space="preserve">Century 21 Portugal</t>
  </si>
  <si>
    <t xml:space="preserve">Agency network</t>
  </si>
  <si>
    <t xml:space="preserve">Conexão Europa Imóveis</t>
  </si>
  <si>
    <t xml:space="preserve">Buying advice / property management</t>
  </si>
  <si>
    <t xml:space="preserve">Dils</t>
  </si>
  <si>
    <t xml:space="preserve">https://dnbrasil.dn.pt/o-brasileiro-o-nosso-principal-cliente-afirma-gestora-de-imobiliria-de-alto-padro-em-portugal</t>
  </si>
  <si>
    <t xml:space="preserve">ERA Avenidas Novas</t>
  </si>
  <si>
    <t xml:space="preserve">Engel &amp; Völkers Portugal</t>
  </si>
  <si>
    <t xml:space="preserve">Faccin Investments</t>
  </si>
  <si>
    <t xml:space="preserve">Property consultancy</t>
  </si>
  <si>
    <t xml:space="preserve">Flávia Motta</t>
  </si>
  <si>
    <t xml:space="preserve">Broker (Brazilian clients)</t>
  </si>
  <si>
    <t xml:space="preserve">https://dnbrasil.dn.pt/flávia-motta-a-carioca-que-virou-referência-para-brasileiros-no-mercado-imobiliário-português</t>
  </si>
  <si>
    <t xml:space="preserve">Fábio Neves Imobiliária</t>
  </si>
  <si>
    <t xml:space="preserve">https://www.theportugalnews.com/pt/noticias/2026-05-08/fabio-neves-imobiliaria-ajuda-compradores-internacionais-a-mudarem-se-e-a-investirem-em-portugal/1017957</t>
  </si>
  <si>
    <t xml:space="preserve">Homelovers</t>
  </si>
  <si>
    <t xml:space="preserve">Infante &amp; Riu</t>
  </si>
  <si>
    <t xml:space="preserve">Judice &amp; Araújo | Christie's</t>
  </si>
  <si>
    <t xml:space="preserve">Agency (Rio de Janeiro)</t>
  </si>
  <si>
    <t xml:space="preserve">KW Portugal</t>
  </si>
  <si>
    <t xml:space="preserve">Libertas / Maison au Portugal</t>
  </si>
  <si>
    <t xml:space="preserve">Agency / developer</t>
  </si>
  <si>
    <t xml:space="preserve">https://libertas.pt/fr/decouvrez-limmobilier-portugais-au-salon-de-linvestissement-de-paris/</t>
  </si>
  <si>
    <t xml:space="preserve">Maia International Properties</t>
  </si>
  <si>
    <t xml:space="preserve">Agency (Brazilian buyers)</t>
  </si>
  <si>
    <t xml:space="preserve">https://diariodocomercio.com.br/negocios/imobiliaria-boutique-portugal-luiz-felipe-maia/</t>
  </si>
  <si>
    <t xml:space="preserve">Oliveira Imóveis</t>
  </si>
  <si>
    <t xml:space="preserve">Buying consultancy (Brazilian buyers)</t>
  </si>
  <si>
    <t xml:space="preserve">Porta da Frente | Christie's</t>
  </si>
  <si>
    <t xml:space="preserve">Agency (Lisbon)</t>
  </si>
  <si>
    <t xml:space="preserve">Agency / relocation</t>
  </si>
  <si>
    <t xml:space="preserve">Portugal Sotheby's International Realty</t>
  </si>
  <si>
    <t xml:space="preserve">Quintela &amp; Penalva</t>
  </si>
  <si>
    <t xml:space="preserve">RE/MAX Alcateia</t>
  </si>
  <si>
    <t xml:space="preserve">RE/MAX Portugal (central)</t>
  </si>
  <si>
    <t xml:space="preserve">Stay Properties</t>
  </si>
  <si>
    <t xml:space="preserve">Agency / rentals</t>
  </si>
  <si>
    <t xml:space="preserve">Zome</t>
  </si>
  <si>
    <t xml:space="preserve">immoabroad</t>
  </si>
  <si>
    <t xml:space="preserve">Portal / agency</t>
  </si>
  <si>
    <t xml:space="preserve">https://www.immoabroad.com/portugal/buying-a-house-in-portugal-full-guide-for-foreigners-2025</t>
  </si>
  <si>
    <t xml:space="preserve">Settings: edit the yellow cells; every value in the workbook updates</t>
  </si>
  <si>
    <t xml:space="preserve">Offer type</t>
  </si>
  <si>
    <t xml:space="preserve">Price year 1 (€)</t>
  </si>
  <si>
    <t xml:space="preserve">Basis</t>
  </si>
  <si>
    <t xml:space="preserve">8,000 €/yr list price, 40% founding discount</t>
  </si>
  <si>
    <t xml:space="preserve">3,000 €/yr list, 40% founding discount</t>
  </si>
  <si>
    <t xml:space="preserve">900 €/yr list, 40% founding discount</t>
  </si>
  <si>
    <t xml:space="preserve">One developer campaign</t>
  </si>
  <si>
    <t xml:space="preserve">Featured listings</t>
  </si>
  <si>
    <t xml:space="preserve">~5 listings x 12 months at reduced pilot rate</t>
  </si>
  <si>
    <t xml:space="preserve">Estimated affiliate income per year</t>
  </si>
  <si>
    <t xml:space="preserve">Affiliate income plus a Silver slot</t>
  </si>
  <si>
    <t xml:space="preserve">Value</t>
  </si>
  <si>
    <t xml:space="preserve">Meaning</t>
  </si>
  <si>
    <t xml:space="preserve">Tier A, evidence 2022 or later</t>
  </si>
  <si>
    <t xml:space="preserve">Proven recent spend on our audience</t>
  </si>
  <si>
    <t xml:space="preserve">Tier A, older evidence</t>
  </si>
  <si>
    <t xml:space="preserve">Proven spend before 2022; re-verify</t>
  </si>
  <si>
    <t xml:space="preserve">Serves our audience, no proof of spend</t>
  </si>
  <si>
    <t xml:space="preserve">Tier C</t>
  </si>
  <si>
    <t xml:space="preserve">Large or generic, long cycle</t>
  </si>
  <si>
    <t xml:space="preserve">Bonus for small company</t>
  </si>
  <si>
    <t xml:space="preserve">Owner decides fast</t>
  </si>
  <si>
    <t xml:space="preserve">Speed factor</t>
  </si>
  <si>
    <t xml:space="preserve">Small: decides in days</t>
  </si>
  <si>
    <t xml:space="preserve">Mid-size: weeks</t>
  </si>
  <si>
    <t xml:space="preserve">Large: months</t>
  </si>
  <si>
    <t xml:space="preserve">Prices follow the current plan. If Daniel picks lower pre-launch pricing (decision D3), change column B above.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</si>
</sst>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&quot; €&quot;;\(#,##0&quot; €)&quot;;\-"/>
    <numFmt numFmtId="166" formatCode="0%"/>
    <numFmt numFmtId="167" formatCode="0%;\(0%\);\-"/>
    <numFmt numFmtId="168" formatCode="#,##0"/>
    <numFmt numFmtId="169" formatCode="0.0\x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color rgb="FF5D667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1F5F8B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6202C"/>
        <bgColor rgb="FF003300"/>
      </patternFill>
    </fill>
    <fill>
      <patternFill patternType="solid">
        <fgColor rgb="FFD6E4EF"/>
        <bgColor rgb="FFDFE3E8"/>
      </patternFill>
    </fill>
    <fill>
      <patternFill patternType="solid">
        <fgColor rgb="FFEEF3F7"/>
        <bgColor rgb="FFFF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FE3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6202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6E4EF"/>
          <bgColor rgb="FF000000"/>
        </patternFill>
      </fill>
    </dxf>
    <dxf>
      <fill>
        <patternFill patternType="solid">
          <fgColor rgb="FFEEF3F7"/>
          <bgColor rgb="FF000000"/>
        </patternFill>
      </fill>
    </dxf>
    <dxf>
      <fill>
        <patternFill patternType="solid">
          <fgColor rgb="FF1F5F8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F3F7"/>
      <rgbColor rgb="FFDFE3E8"/>
      <rgbColor rgb="FF660066"/>
      <rgbColor rgb="FFFF8080"/>
      <rgbColor rgb="FF1F5F8B"/>
      <rgbColor rgb="FFD6E4E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D667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620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chambers.com/department/millennium-bcp-private-banks-high-net-worth-21:2699:174:1:249515" TargetMode="External"/><Relationship Id="rId2" Type="http://schemas.openxmlformats.org/officeDocument/2006/relationships/hyperlink" Target="https://www.idealista.pt/en/news/node/71011" TargetMode="External"/><Relationship Id="rId3" Type="http://schemas.openxmlformats.org/officeDocument/2006/relationships/hyperlink" Target="https://www.idealista.pt/en/news/node/61843" TargetMode="External"/><Relationship Id="rId4" Type="http://schemas.openxmlformats.org/officeDocument/2006/relationships/hyperlink" Target="https://www.idealista.pt/news/node/75369" TargetMode="External"/><Relationship Id="rId5" Type="http://schemas.openxmlformats.org/officeDocument/2006/relationships/hyperlink" Target="https://www.idealista.pt/en/news/luxury-real-estate-in-portugal/2025/02/06/67912-vale-do-lobo-in-the-algarve-invests-over-eu200-million-in-luxury-homes" TargetMode="External"/><Relationship Id="rId6" Type="http://schemas.openxmlformats.org/officeDocument/2006/relationships/hyperlink" Target="https://chambers.com/department/andersen-private-wealth-law-high-net-worth-21:2633:174:1:22620317" TargetMode="External"/><Relationship Id="rId7" Type="http://schemas.openxmlformats.org/officeDocument/2006/relationships/hyperlink" Target="https://www.essential-business.pt/2019/12/08/btg-pactual-enters-portuguese-banking-market/" TargetMode="External"/><Relationship Id="rId8" Type="http://schemas.openxmlformats.org/officeDocument/2006/relationships/hyperlink" Target="https://cms.law/en/prt/news-information/cms-portugal-and-nuno-figueiroa-santos-highlighted-in-the-chambers-and-partners-high-net-worth-guide" TargetMode="External"/><Relationship Id="rId9" Type="http://schemas.openxmlformats.org/officeDocument/2006/relationships/hyperlink" Target="https://cleerly.fr/retraite/portugal" TargetMode="External"/><Relationship Id="rId10" Type="http://schemas.openxmlformats.org/officeDocument/2006/relationships/hyperlink" Target="https://compassurance.ch/retirer-2eme-pilier-quitter-suisse/" TargetMode="External"/><Relationship Id="rId11" Type="http://schemas.openxmlformats.org/officeDocument/2006/relationships/hyperlink" Target="https://creativeplanning.com/international/insights/financial-planning/9-critical-financial-planning-considerations-for-american-expats-living-in-portugal/" TargetMode="External"/><Relationship Id="rId12" Type="http://schemas.openxmlformats.org/officeDocument/2006/relationships/hyperlink" Target="https://www.deloitte.com/pt/pt/services/legal/blogs/news/deloitte-legal-telles-band-1-private-wealth-law.html" TargetMode="External"/><Relationship Id="rId13" Type="http://schemas.openxmlformats.org/officeDocument/2006/relationships/hyperlink" Target="https://fresh-legal.com/us" TargetMode="External"/><Relationship Id="rId14" Type="http://schemas.openxmlformats.org/officeDocument/2006/relationships/hyperlink" Target="https://www.hagnere-patrimoine.fr/gestion-de-patrimoine-expatrie-portugal" TargetMode="External"/><Relationship Id="rId15" Type="http://schemas.openxmlformats.org/officeDocument/2006/relationships/hyperlink" Target="https://www.essential-business.pt/2025/03/27/swiss-wealth-management-and-investment-bank-julius-baer-to-open-lisbon-office/" TargetMode="External"/><Relationship Id="rId16" Type="http://schemas.openxmlformats.org/officeDocument/2006/relationships/hyperlink" Target="https://www.essential-business.pt/2025/11/21/krest-unveils-formoso-marvila-residential-development-in-lisbon/" TargetMode="External"/><Relationship Id="rId17" Type="http://schemas.openxmlformats.org/officeDocument/2006/relationships/hyperlink" Target="https://uk.trustpilot.com/review/taxbordr.com" TargetMode="External"/><Relationship Id="rId18" Type="http://schemas.openxmlformats.org/officeDocument/2006/relationships/hyperlink" Target="https://spectrum-ifa.com/expat-financial-advice-in-portugal/" TargetMode="External"/><Relationship Id="rId19" Type="http://schemas.openxmlformats.org/officeDocument/2006/relationships/hyperlink" Target="https://luxuriousmagazine.com/vilamoura-world-new-residential-projects" TargetMode="External"/><Relationship Id="rId20" Type="http://schemas.openxmlformats.org/officeDocument/2006/relationships/hyperlink" Target="https://www.dnoticias.pt/2024/11/13/427070-yard-properties-investe-no-funchal-com-projecto-residencial-de-luxo/" TargetMode="External"/><Relationship Id="rId21" Type="http://schemas.openxmlformats.org/officeDocument/2006/relationships/hyperlink" Target="https://www.abanca.pt/pt/residentes-suica/" TargetMode="External"/><Relationship Id="rId22" Type="http://schemas.openxmlformats.org/officeDocument/2006/relationships/hyperlink" Target="https://lusojornal.com/salao-do-imobiliario-e-do-investimento-portugues-muda-se-para-a-porte-de-champeret/" TargetMode="External"/><Relationship Id="rId23" Type="http://schemas.openxmlformats.org/officeDocument/2006/relationships/hyperlink" Target="https://lusopress.tv/wp-content/uploads/2023/07/lusopress_125.pdf" TargetMode="External"/><Relationship Id="rId24" Type="http://schemas.openxmlformats.org/officeDocument/2006/relationships/hyperlink" Target="https://www.eurodicas.com.br/conexao-europa-imoveis/" TargetMode="External"/><Relationship Id="rId25" Type="http://schemas.openxmlformats.org/officeDocument/2006/relationships/hyperlink" Target="https://lusojornal.com/salao-do-imobiliario-e-do-investimento-portugues-muda-se-para-a-porte-de-champeret/" TargetMode="External"/><Relationship Id="rId26" Type="http://schemas.openxmlformats.org/officeDocument/2006/relationships/hyperlink" Target="https://www.dnoticias.pt/2022/12/21/340949-o-processo-de-abertura-de-uma-conta-bancaria-em-portugal/" TargetMode="External"/><Relationship Id="rId27" Type="http://schemas.openxmlformats.org/officeDocument/2006/relationships/hyperlink" Target="https://lusopress.tv/wp-content/uploads/2023/07/lusopress_125.pdf" TargetMode="External"/><Relationship Id="rId28" Type="http://schemas.openxmlformats.org/officeDocument/2006/relationships/hyperlink" Target="https://www.santander.pt/portugueses-residentes-exterior" TargetMode="External"/><Relationship Id="rId29" Type="http://schemas.openxmlformats.org/officeDocument/2006/relationships/hyperlink" Target="https://br.ebury.com/blog/vou-comprar-um-imovel-em-portugal-e-agora-como-faco-o-pagamento" TargetMode="External"/><Relationship Id="rId30" Type="http://schemas.openxmlformats.org/officeDocument/2006/relationships/hyperlink" Target="https://lusopress.tv/wp-content/uploads/2018/12/10nomes10historias_3.pdf" TargetMode="External"/><Relationship Id="rId31" Type="http://schemas.openxmlformats.org/officeDocument/2006/relationships/hyperlink" Target="https://www.idealista.pt/news/node/26913" TargetMode="External"/><Relationship Id="rId32" Type="http://schemas.openxmlformats.org/officeDocument/2006/relationships/hyperlink" Target="https://anchorless.io/fr/partenaires/cafimo" TargetMode="External"/><Relationship Id="rId33" Type="http://schemas.openxmlformats.org/officeDocument/2006/relationships/hyperlink" Target="https://www.bleap.finance/pt-br/blog/como-enviar-dinheiro-do-brasil-para-portugal" TargetMode="External"/><Relationship Id="rId34" Type="http://schemas.openxmlformats.org/officeDocument/2006/relationships/hyperlink" Target="https://crncontabilidade.pt/?p=21253" TargetMode="External"/><Relationship Id="rId35" Type="http://schemas.openxmlformats.org/officeDocument/2006/relationships/hyperlink" Target="https://investnews.com.br/financas/entre-estrangeiros-brasileiros-lideram-busca-por-imoveis-de-luxo-em-pontos-nobres-de-portugal/amp/" TargetMode="External"/><Relationship Id="rId36" Type="http://schemas.openxmlformats.org/officeDocument/2006/relationships/hyperlink" Target="https://anchorless.io/fr/partenaires/cafimo" TargetMode="External"/><Relationship Id="rId37" Type="http://schemas.openxmlformats.org/officeDocument/2006/relationships/hyperlink" Target="https://www.cidadaniaevisto.com.br/blog/quanto-custa-mudanca-brasil-para-portugal" TargetMode="External"/><Relationship Id="rId38" Type="http://schemas.openxmlformats.org/officeDocument/2006/relationships/hyperlink" Target="https://www.euodia.fr/succession/portugal/" TargetMode="External"/><Relationship Id="rId39" Type="http://schemas.openxmlformats.org/officeDocument/2006/relationships/hyperlink" Target="https://en.paperjam.lu/club/event/paperjam-10x6-decisao-the-portuguese-business-community-in-action" TargetMode="External"/><Relationship Id="rId40" Type="http://schemas.openxmlformats.org/officeDocument/2006/relationships/hyperlink" Target="https://www.portugalresidencyadvisors.com/pt-br/advogado-imobiliario-portugal/" TargetMode="External"/><Relationship Id="rId41" Type="http://schemas.openxmlformats.org/officeDocument/2006/relationships/hyperlink" Target="https://www.lemondedudroit.fr/vie-des-cabinets/102561-emilie-silva-fonde-silva-avocat-partners.html" TargetMode="External"/><Relationship Id="rId42" Type="http://schemas.openxmlformats.org/officeDocument/2006/relationships/hyperlink" Target="https://www.ibani.com/pt/guias/levantar-2-pilar-imovel-estrangeiro" TargetMode="External"/><Relationship Id="rId43" Type="http://schemas.openxmlformats.org/officeDocument/2006/relationships/hyperlink" Target="https://www.eurodicas.com.br/comprar-casa-em-portugal/" TargetMode="External"/><Relationship Id="rId44" Type="http://schemas.openxmlformats.org/officeDocument/2006/relationships/hyperlink" Target="https://hrportugal.sapo.pt/?p=230644" TargetMode="External"/><Relationship Id="rId45" Type="http://schemas.openxmlformats.org/officeDocument/2006/relationships/hyperlink" Target="https://www.idealista.pt/news/node/26913" TargetMode="External"/><Relationship Id="rId46" Type="http://schemas.openxmlformats.org/officeDocument/2006/relationships/hyperlink" Target="https://lusojornal.com/salao-do-imobiliario-e-do-investimento-portugues-muda-se-para-a-porte-de-champeret/" TargetMode="External"/><Relationship Id="rId47" Type="http://schemas.openxmlformats.org/officeDocument/2006/relationships/hyperlink" Target="https://lusojornal.com/salao-do-imobiliario-e-do-investimento-portugues-muda-se-para-a-porte-de-champeret/" TargetMode="External"/><Relationship Id="rId48" Type="http://schemas.openxmlformats.org/officeDocument/2006/relationships/hyperlink" Target="https://investnews.com.br/financas/entre-estrangeiros-brasileiros-lideram-busca-por-imoveis-de-luxo-em-pontos-nobres-de-portugal/amp/" TargetMode="External"/><Relationship Id="rId49" Type="http://schemas.openxmlformats.org/officeDocument/2006/relationships/hyperlink" Target="https://www.mysweetimmo.com/2019/12/19/le-courtier-cafpi-simplante-au-portugal/" TargetMode="External"/><Relationship Id="rId50" Type="http://schemas.openxmlformats.org/officeDocument/2006/relationships/hyperlink" Target="https://ind.millenniumbcp.pt/pt/Particulares/suamedida/utilisateurs-francais/Pages/REX_escolherMbcp.aspx" TargetMode="External"/><Relationship Id="rId51" Type="http://schemas.openxmlformats.org/officeDocument/2006/relationships/hyperlink" Target="https://lusopress.tv/wp-content/uploads/2025/12/Revista-142.pdf" TargetMode="External"/><Relationship Id="rId52" Type="http://schemas.openxmlformats.org/officeDocument/2006/relationships/hyperlink" Target="https://monitormercantil.com.br/mercado-imobili-rio-de-portugal-op-o-para-a-investidores-brasileiros/" TargetMode="External"/><Relationship Id="rId53" Type="http://schemas.openxmlformats.org/officeDocument/2006/relationships/hyperlink" Target="https://www.eurodicas.com.br/comprar-casa-em-portugal/" TargetMode="External"/><Relationship Id="rId54" Type="http://schemas.openxmlformats.org/officeDocument/2006/relationships/hyperlink" Target="https://www.idealista.pt/news/node/26913" TargetMode="External"/><Relationship Id="rId55" Type="http://schemas.openxmlformats.org/officeDocument/2006/relationships/hyperlink" Target="https://lusopress.tv/wp-content/uploads/2023/07/lusopress_125.pdf" TargetMode="External"/><Relationship Id="rId56" Type="http://schemas.openxmlformats.org/officeDocument/2006/relationships/hyperlink" Target="https://lusopress.tv/wp-content/uploads/2023/07/lusopress_125.pdf" TargetMode="External"/><Relationship Id="rId57" Type="http://schemas.openxmlformats.org/officeDocument/2006/relationships/hyperlink" Target="https://monitormercantil.com.br/mercado-imobili-rio-de-portugal-op-o-para-a-investidores-brasileiros/" TargetMode="External"/><Relationship Id="rId58" Type="http://schemas.openxmlformats.org/officeDocument/2006/relationships/hyperlink" Target="https://www.eurodicas.com.br/comprar-casa-em-portugal/" TargetMode="External"/><Relationship Id="rId59" Type="http://schemas.openxmlformats.org/officeDocument/2006/relationships/hyperlink" Target="https://lusopress.tv/wp-content/uploads/2023/07/lusopress_125.pdf" TargetMode="External"/><Relationship Id="rId60" Type="http://schemas.openxmlformats.org/officeDocument/2006/relationships/hyperlink" Target="https://www.eurodicas.com.br/como-financiar-imovel-em-portugal/" TargetMode="External"/><Relationship Id="rId61" Type="http://schemas.openxmlformats.org/officeDocument/2006/relationships/hyperlink" Target="https://www.doutorfinancas.pt/wp-content/uploads/2025/12/IC-000042_.pdf" TargetMode="External"/><Relationship Id="rId62" Type="http://schemas.openxmlformats.org/officeDocument/2006/relationships/hyperlink" Target="https://www.doutorfinancas.pt/wp-content/uploads/2025/12/IC-000042_.pdf" TargetMode="External"/><Relationship Id="rId63" Type="http://schemas.openxmlformats.org/officeDocument/2006/relationships/hyperlink" Target="https://www.eurodicas.com.br/como-financiar-imovel-em-portugal/" TargetMode="External"/><Relationship Id="rId64" Type="http://schemas.openxmlformats.org/officeDocument/2006/relationships/hyperlink" Target="https://brighttax.com/blog/can-americans-buy-property-in-portugal" TargetMode="External"/><Relationship Id="rId65" Type="http://schemas.openxmlformats.org/officeDocument/2006/relationships/hyperlink" Target="https://www.comparaja.pt/credito-habitacao/emigrantes" TargetMode="External"/><Relationship Id="rId66" Type="http://schemas.openxmlformats.org/officeDocument/2006/relationships/hyperlink" Target="https://www.doutorfinancas.pt/creditos/credito-habitacao/credito-habitacao-e-emigracao-o-que-deve-saber/" TargetMode="External"/><Relationship Id="rId67" Type="http://schemas.openxmlformats.org/officeDocument/2006/relationships/hyperlink" Target="https://www.goldinglawyers.com/tax-tips-for-portugal-based-americans-u-s-citizen-expats/" TargetMode="External"/><Relationship Id="rId68" Type="http://schemas.openxmlformats.org/officeDocument/2006/relationships/hyperlink" Target="https://www.guestready.com/fr/conciergerie-airbnb/portugal/" TargetMode="External"/><Relationship Id="rId69" Type="http://schemas.openxmlformats.org/officeDocument/2006/relationships/hyperlink" Target="https://www.justarrived.lu/pt/" TargetMode="External"/><Relationship Id="rId70" Type="http://schemas.openxmlformats.org/officeDocument/2006/relationships/hyperlink" Target="https://www.lvpadvogados.com/pt" TargetMode="External"/><Relationship Id="rId71" Type="http://schemas.openxmlformats.org/officeDocument/2006/relationships/hyperlink" Target="https://www.remitly.com/blog/immigration/buying-property-in-portugal/" TargetMode="External"/><Relationship Id="rId72" Type="http://schemas.openxmlformats.org/officeDocument/2006/relationships/hyperlink" Target="https://smargiassi.com.br/lp/portugal/" TargetMode="External"/><Relationship Id="rId73" Type="http://schemas.openxmlformats.org/officeDocument/2006/relationships/hyperlink" Target="https://www.solutis.fr/investir-au-portugal.html" TargetMode="External"/><Relationship Id="rId74" Type="http://schemas.openxmlformats.org/officeDocument/2006/relationships/hyperlink" Target="https://www.solutis.fr/investir-au-portugal.html" TargetMode="External"/><Relationship Id="rId75" Type="http://schemas.openxmlformats.org/officeDocument/2006/relationships/hyperlink" Target="https://www.taxesforexpats.com/country-guides/portugal/buying-property-in-portugal-as-an-american.html" TargetMode="External"/><Relationship Id="rId76" Type="http://schemas.openxmlformats.org/officeDocument/2006/relationships/hyperlink" Target="https://www.eurodicas.com.br/como-financiar-imovel-em-portugal/" TargetMode="External"/><Relationship Id="rId77" Type="http://schemas.openxmlformats.org/officeDocument/2006/relationships/hyperlink" Target="https://www.verspieren.com/sites/default/files/2019-11/Communique_Presse_Lancement_Verspieren%20Portugal.pdf" TargetMode="External"/><Relationship Id="rId78" Type="http://schemas.openxmlformats.org/officeDocument/2006/relationships/hyperlink" Target="https://www.essential-business.pt/2025/10/03/shalu-invests-e100-million-in-luxury-porto-project/" TargetMode="External"/><Relationship Id="rId79" Type="http://schemas.openxmlformats.org/officeDocument/2006/relationships/hyperlink" Target="https://www.essential-business.pt/?p=21799" TargetMode="External"/><Relationship Id="rId80" Type="http://schemas.openxmlformats.org/officeDocument/2006/relationships/hyperlink" Target="https://econews.pt/?p=47234" TargetMode="External"/><Relationship Id="rId81" Type="http://schemas.openxmlformats.org/officeDocument/2006/relationships/hyperlink" Target="https://www.idealista.pt/news/node/26913" TargetMode="External"/><Relationship Id="rId82" Type="http://schemas.openxmlformats.org/officeDocument/2006/relationships/hyperlink" Target="https://www.idealista.pt/news/node/26913" TargetMode="External"/><Relationship Id="rId83" Type="http://schemas.openxmlformats.org/officeDocument/2006/relationships/hyperlink" Target="https://www.idealista.pt/news/node/26913" TargetMode="External"/><Relationship Id="rId84" Type="http://schemas.openxmlformats.org/officeDocument/2006/relationships/hyperlink" Target="https://www.idealista.pt/news/node/26913" TargetMode="External"/><Relationship Id="rId85" Type="http://schemas.openxmlformats.org/officeDocument/2006/relationships/hyperlink" Target="https://www.cyriljarnias.fr/?p=22969" TargetMode="External"/><Relationship Id="rId86" Type="http://schemas.openxmlformats.org/officeDocument/2006/relationships/hyperlink" Target="https://www.cidadaniaevisto.com.br/blog/container-brasil-para-portugal-como-funciona" TargetMode="External"/><Relationship Id="rId87" Type="http://schemas.openxmlformats.org/officeDocument/2006/relationships/hyperlink" Target="https://www.eurodicas.com.br/comprar-casa-em-portugal/" TargetMode="External"/><Relationship Id="rId88" Type="http://schemas.openxmlformats.org/officeDocument/2006/relationships/hyperlink" Target="https://www.justarrived.lu/pt/services-partenaires/demenager" TargetMode="External"/><Relationship Id="rId89" Type="http://schemas.openxmlformats.org/officeDocument/2006/relationships/hyperlink" Target="https://en.paperjam.lu/club/event/paperjam-10x6-decisao-the-portuguese-business-community-in-action" TargetMode="External"/><Relationship Id="rId90" Type="http://schemas.openxmlformats.org/officeDocument/2006/relationships/hyperlink" Target="https://en.paperjam.lu/club/event/paperjam-10x6-decisao-the-portuguese-business-community-in-action" TargetMode="External"/><Relationship Id="rId91" Type="http://schemas.openxmlformats.org/officeDocument/2006/relationships/hyperlink" Target="https://www.bdo.pt/getattachment/976e2ae4-5f6d-4174-b76e-23bf21d7c475/Guia-Investir-au-Portugal-25_9_Compress.pdf" TargetMode="External"/><Relationship Id="rId92" Type="http://schemas.openxmlformats.org/officeDocument/2006/relationships/hyperlink" Target="https://www.eurodicas.com.br/como-financiar-imovel-em-portugal/" TargetMode="External"/><Relationship Id="rId93" Type="http://schemas.openxmlformats.org/officeDocument/2006/relationships/hyperlink" Target="https://contasconnosco.cofidis.pt/credito/e-emigrante-e-quer-fazer-um-credito-habitacao-em-portugal" TargetMode="External"/><Relationship Id="rId94" Type="http://schemas.openxmlformats.org/officeDocument/2006/relationships/hyperlink" Target="https://ca-ql.creditoagricola.pt/institucional/international-v2" TargetMode="External"/><Relationship Id="rId95" Type="http://schemas.openxmlformats.org/officeDocument/2006/relationships/hyperlink" Target="https://www.fieldfisher.com/pt-pt/people/franck-mattos" TargetMode="External"/><Relationship Id="rId96" Type="http://schemas.openxmlformats.org/officeDocument/2006/relationships/hyperlink" Target="https://www.meilleurtaux.com/credit-immobilier/actualites/2020-juillet/portugal-terre-accueil-ideale-expatries-francais.html" TargetMode="External"/><Relationship Id="rId97" Type="http://schemas.openxmlformats.org/officeDocument/2006/relationships/hyperlink" Target="https://mirandalawfirm.com/download/2729/aad470f4cb89c159ff1db5542b48660f/Guia%20Investir%20au%20Portugal%2025_9_Compress.pdf" TargetMode="External"/><Relationship Id="rId98" Type="http://schemas.openxmlformats.org/officeDocument/2006/relationships/hyperlink" Target="https://www.eurodicas.com.br/comprar-casa-em-portugal/" TargetMode="External"/><Relationship Id="rId99" Type="http://schemas.openxmlformats.org/officeDocument/2006/relationships/hyperlink" Target="https://www.caixiave.pt/fr/nouvelle/caixiave-salon-de-limmobilier-au-portugal-sil-2024" TargetMode="External"/><Relationship Id="rId100" Type="http://schemas.openxmlformats.org/officeDocument/2006/relationships/hyperlink" Target="https://www.eurosender.com/pt/rr/mudancas/suica" TargetMode="External"/><Relationship Id="rId101" Type="http://schemas.openxmlformats.org/officeDocument/2006/relationships/hyperlink" Target="https://www.uniplaces.com/city-explorer/aluguel-para-expatriados-em-portugal/" TargetMode="External"/><Relationship Id="rId102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doutorfinancas.pt/seguro-vida-geral/" TargetMode="External"/><Relationship Id="rId2" Type="http://schemas.openxmlformats.org/officeDocument/2006/relationships/hyperlink" Target="https://www.doutorfinancas.pt/seguro-vida-geral/" TargetMode="External"/><Relationship Id="rId3" Type="http://schemas.openxmlformats.org/officeDocument/2006/relationships/hyperlink" Target="https://www.doutorfinancas.pt/seguro-vida-geral/" TargetMode="External"/><Relationship Id="rId4" Type="http://schemas.openxmlformats.org/officeDocument/2006/relationships/hyperlink" Target="https://www.doutorfinancas.pt/seguro-vida-geral/" TargetMode="External"/><Relationship Id="rId5" Type="http://schemas.openxmlformats.org/officeDocument/2006/relationships/hyperlink" Target="https://www.doutorfinancas.pt/seguro-vida-geral/" TargetMode="External"/><Relationship Id="rId6" Type="http://schemas.openxmlformats.org/officeDocument/2006/relationships/hyperlink" Target="https://www.doutorfinancas.pt/seguro-vida-geral/" TargetMode="External"/><Relationship Id="rId7" Type="http://schemas.openxmlformats.org/officeDocument/2006/relationships/hyperlink" Target="https://www.essential-business.pt/?p=16891" TargetMode="External"/><Relationship Id="rId8" Type="http://schemas.openxmlformats.org/officeDocument/2006/relationships/hyperlink" Target="https://www.doutorfinancas.pt/seguro-vida-geral/" TargetMode="External"/><Relationship Id="rId9" Type="http://schemas.openxmlformats.org/officeDocument/2006/relationships/hyperlink" Target="https://www.doutorfinancas.pt/seguro-vida-geral/" TargetMode="External"/><Relationship Id="rId10" Type="http://schemas.openxmlformats.org/officeDocument/2006/relationships/hyperlink" Target="https://www.doutorfinancas.pt/seguro-vida-geral/" TargetMode="External"/><Relationship Id="rId11" Type="http://schemas.openxmlformats.org/officeDocument/2006/relationships/hyperlink" Target="https://www.doutorfinancas.pt/seguro-vida-geral/" TargetMode="External"/><Relationship Id="rId12" Type="http://schemas.openxmlformats.org/officeDocument/2006/relationships/hyperlink" Target="https://www.doutorfinancas.pt/seguro-vida-geral/" TargetMode="External"/><Relationship Id="rId13" Type="http://schemas.openxmlformats.org/officeDocument/2006/relationships/hyperlink" Target="https://www.essential-business.pt/?p=11819" TargetMode="External"/><Relationship Id="rId14" Type="http://schemas.openxmlformats.org/officeDocument/2006/relationships/hyperlink" Target="https://www.doutorfinancas.pt/seguro-vida-geral/" TargetMode="External"/><Relationship Id="rId15" Type="http://schemas.openxmlformats.org/officeDocument/2006/relationships/hyperlink" Target="https://www.doutorfinancas.pt/seguro-vida-geral/" TargetMode="External"/><Relationship Id="rId16" Type="http://schemas.openxmlformats.org/officeDocument/2006/relationships/hyperlink" Target="https://www.doutorfinancas.pt/seguro-vida-geral/" TargetMode="External"/><Relationship Id="rId17" Type="http://schemas.openxmlformats.org/officeDocument/2006/relationships/hyperlink" Target="https://www.doutorfinancas.pt/seguro-vida-geral/" TargetMode="External"/><Relationship Id="rId18" Type="http://schemas.openxmlformats.org/officeDocument/2006/relationships/hyperlink" Target="https://www.doutorfinancas.pt/seguro-vida-geral/" TargetMode="External"/><Relationship Id="rId19" Type="http://schemas.openxmlformats.org/officeDocument/2006/relationships/hyperlink" Target="https://www.doutorfinancas.pt/seguro-vida-geral/" TargetMode="External"/><Relationship Id="rId20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idealista.pt/news/node/59586" TargetMode="External"/><Relationship Id="rId2" Type="http://schemas.openxmlformats.org/officeDocument/2006/relationships/hyperlink" Target="https://lusojornal.com/salao-do-imobiliario-e-do-investimento-portugues-muda-se-para-a-porte-de-champeret/" TargetMode="External"/><Relationship Id="rId3" Type="http://schemas.openxmlformats.org/officeDocument/2006/relationships/hyperlink" Target="https://www.idealista.pt/news/node/43936" TargetMode="External"/><Relationship Id="rId4" Type="http://schemas.openxmlformats.org/officeDocument/2006/relationships/hyperlink" Target="https://cc.lu/agenda/detail/luxembourg-portugal-business-forum" TargetMode="External"/><Relationship Id="rId5" Type="http://schemas.openxmlformats.org/officeDocument/2006/relationships/hyperlink" Target="https://en.paperjam.lu/club/event/paperjam-10x6-decisao-the-portuguese-business-community-in-action" TargetMode="External"/><Relationship Id="rId6" Type="http://schemas.openxmlformats.org/officeDocument/2006/relationships/hyperlink" Target="https://lusojornal.com/salao-do-imobiliario-e-do-investimento-portugues-muda-se-para-a-porte-de-champeret/" TargetMode="External"/><Relationship Id="rId7" Type="http://schemas.openxmlformats.org/officeDocument/2006/relationships/hyperlink" Target="https://lusopress.tv/wp-content/uploads/2025/12/Revista-142.pdf" TargetMode="External"/><Relationship Id="rId8" Type="http://schemas.openxmlformats.org/officeDocument/2006/relationships/hyperlink" Target="https://lusopress.tv/wp-content/uploads/2023/07/lusopress_125.pdf" TargetMode="External"/><Relationship Id="rId9" Type="http://schemas.openxmlformats.org/officeDocument/2006/relationships/hyperlink" Target="https://lusopress.tv/wp-content/uploads/2023/07/lusopress_125.pdf" TargetMode="External"/><Relationship Id="rId10" Type="http://schemas.openxmlformats.org/officeDocument/2006/relationships/hyperlink" Target="https://en.paperjam.lu/guide/organisation/01276932145/radio-latina" TargetMode="External"/><Relationship Id="rId11" Type="http://schemas.openxmlformats.org/officeDocument/2006/relationships/hyperlink" Target="https://en.wikipedia.org/wiki/Contacto_(Luxembourg)" TargetMode="External"/><Relationship Id="rId12" Type="http://schemas.openxmlformats.org/officeDocument/2006/relationships/hyperlink" Target="https://www.eurodicas.com.br/comprar-casa-em-portugal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onlinemarketplaces.com/articles/idealistas-kyero-acquisition-cancelled-as-competition-authority-steps-in/" TargetMode="External"/><Relationship Id="rId2" Type="http://schemas.openxmlformats.org/officeDocument/2006/relationships/hyperlink" Target="https://www.onlinemarketplaces.com/articles/idealistas-kyero-acquisition-cancelled-as-competition-authority-steps-in/" TargetMode="External"/><Relationship Id="rId3" Type="http://schemas.openxmlformats.org/officeDocument/2006/relationships/hyperlink" Target="https://www.luxinmo.com/portals/green-acres" TargetMode="External"/><Relationship Id="rId4" Type="http://schemas.openxmlformats.org/officeDocument/2006/relationships/hyperlink" Target="https://www.aplaceinthesun.com/advertise/magazine" TargetMode="External"/><Relationship Id="rId5" Type="http://schemas.openxmlformats.org/officeDocument/2006/relationships/hyperlink" Target="https://www.portugalhomes.com/pt/move-to-portugal/services/property-management" TargetMode="External"/><Relationship Id="rId6" Type="http://schemas.openxmlformats.org/officeDocument/2006/relationships/hyperlink" Target="https://lusojornal.com/salao-do-imobiliario-e-do-investimento-portugues-muda-se-para-a-porte-de-champeret/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amchamportugal.pt/" TargetMode="External"/><Relationship Id="rId2" Type="http://schemas.openxmlformats.org/officeDocument/2006/relationships/hyperlink" Target="https://bpcc.pt/" TargetMode="External"/><Relationship Id="rId3" Type="http://schemas.openxmlformats.org/officeDocument/2006/relationships/hyperlink" Target="https://portugalglobal.pt/en/news/2026/fevereiro/moving-to-portugal-show-and-seminars-returns-to-central-london" TargetMode="External"/><Relationship Id="rId4" Type="http://schemas.openxmlformats.org/officeDocument/2006/relationships/hyperlink" Target="https://www.eusmecentre.org.cn/partners/portugal-china-chamber-of-commerce-and-industry-ccilc" TargetMode="External"/><Relationship Id="rId5" Type="http://schemas.openxmlformats.org/officeDocument/2006/relationships/hyperlink" Target="https://www.portugalresident.com/chamber/" TargetMode="External"/><Relationship Id="rId6" Type="http://schemas.openxmlformats.org/officeDocument/2006/relationships/hyperlink" Target="https://www.trade.gov/portugal-contact-us" TargetMode="External"/><Relationship Id="rId7" Type="http://schemas.openxmlformats.org/officeDocument/2006/relationships/hyperlink" Target="https://www.gov.uk/world/organisations/british-embassy-lisbon/office/department-for-business-and-trade" TargetMode="External"/><Relationship Id="rId8" Type="http://schemas.openxmlformats.org/officeDocument/2006/relationships/hyperlink" Target="https://embassies.gov.il/portugal/en" TargetMode="External"/><Relationship Id="rId9" Type="http://schemas.openxmlformats.org/officeDocument/2006/relationships/hyperlink" Target="https://pt.mofcom.gov.cn/AboutUs/art/2015/art_1d0f6ff0306d46a1b7192aa708363bfb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2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/>
      <c r="B4" s="3" t="s">
        <v>2</v>
      </c>
      <c r="C4" s="3" t="s">
        <v>3</v>
      </c>
      <c r="D4" s="3" t="s">
        <v>4</v>
      </c>
    </row>
    <row r="5" customFormat="false" ht="15" hidden="false" customHeight="false" outlineLevel="0" collapsed="false">
      <c r="A5" s="4" t="s">
        <v>5</v>
      </c>
      <c r="B5" s="4" t="n">
        <f aca="false">COUNTIF('Pipeline A-B'!$E$2:$E$107,"A")</f>
        <v>54</v>
      </c>
      <c r="C5" s="5" t="e">
        <f aca="false">SUMIF('Pipeline A-B'!$E$2:$E$107,"A",'Pipeline A-B'!$P$2:$P$107)</f>
        <v>#N/A</v>
      </c>
      <c r="D5" s="5" t="n">
        <f aca="false">SUMIFS('Pipeline A-B'!$N$2:$N$107,'Pipeline A-B'!$E$2:$E$107,"A",'Pipeline A-B'!$R$2:$R$107,"Won")</f>
        <v>0</v>
      </c>
    </row>
    <row r="6" customFormat="false" ht="15" hidden="false" customHeight="false" outlineLevel="0" collapsed="false">
      <c r="A6" s="4" t="s">
        <v>6</v>
      </c>
      <c r="B6" s="4" t="n">
        <f aca="false">COUNTIF('Pipeline A-B'!$E$2:$E$107,"B")</f>
        <v>52</v>
      </c>
      <c r="C6" s="5" t="n">
        <f aca="false">SUMIF('Pipeline A-B'!$E$2:$E$107,"B",'Pipeline A-B'!$P$2:$P$107)</f>
        <v>12625.2</v>
      </c>
      <c r="D6" s="5" t="n">
        <f aca="false">SUMIFS('Pipeline A-B'!$N$2:$N$107,'Pipeline A-B'!$E$2:$E$107,"B",'Pipeline A-B'!$R$2:$R$107,"Won")</f>
        <v>0</v>
      </c>
    </row>
    <row r="7" customFormat="false" ht="15" hidden="false" customHeight="false" outlineLevel="0" collapsed="false">
      <c r="A7" s="4" t="s">
        <v>7</v>
      </c>
      <c r="B7" s="4" t="n">
        <f aca="false">COUNTA('Later (tier C)'!$A$2:$A$70)</f>
        <v>69</v>
      </c>
      <c r="C7" s="5" t="n">
        <f aca="false">SUM('Later (tier C)'!$P$2:$P$70)</f>
        <v>6339</v>
      </c>
      <c r="D7" s="5" t="n">
        <f aca="false">SUMIF('Later (tier C)'!$R$2:$R$70,"Won",'Later (tier C)'!$N$2:$N$70)</f>
        <v>0</v>
      </c>
    </row>
    <row r="8" customFormat="false" ht="15" hidden="false" customHeight="false" outlineLevel="0" collapsed="false">
      <c r="A8" s="6" t="s">
        <v>8</v>
      </c>
      <c r="B8" s="6" t="n">
        <f aca="false">SUM(B5:B7)</f>
        <v>175</v>
      </c>
      <c r="C8" s="7" t="e">
        <f aca="false">SUM(C5:C7)</f>
        <v>#N/A</v>
      </c>
      <c r="D8" s="7" t="n">
        <f aca="false">SUM(D5:D7)</f>
        <v>0</v>
      </c>
    </row>
    <row r="9" customFormat="false" ht="15" hidden="false" customHeight="false" outlineLevel="0" collapsed="false">
      <c r="A9" s="4" t="s">
        <v>9</v>
      </c>
      <c r="B9" s="8" t="n">
        <f aca="false">(B5+B6)/B8</f>
        <v>0.605714285714286</v>
      </c>
    </row>
    <row r="11" customFormat="false" ht="15" hidden="false" customHeight="false" outlineLevel="0" collapsed="false">
      <c r="A11" s="3" t="s">
        <v>10</v>
      </c>
      <c r="B11" s="3" t="s">
        <v>11</v>
      </c>
      <c r="C11" s="3" t="s">
        <v>3</v>
      </c>
    </row>
    <row r="12" customFormat="false" ht="15" hidden="false" customHeight="false" outlineLevel="0" collapsed="false">
      <c r="A12" s="4" t="s">
        <v>12</v>
      </c>
      <c r="B12" s="4" t="n">
        <f aca="false">SUMPRODUCT(--ISNUMBER(SEARCH("LU",'Pipeline A-B'!$D$2:$D$107)))</f>
        <v>35</v>
      </c>
      <c r="C12" s="5" t="e">
        <f aca="false">SUMPRODUCT(ISNUMBER(SEARCH("LU",'Pipeline A-B'!$D$2:$D$107))*'Pipeline A-B'!$P$2:$P$107)</f>
        <v>#N/A</v>
      </c>
    </row>
    <row r="13" customFormat="false" ht="15" hidden="false" customHeight="false" outlineLevel="0" collapsed="false">
      <c r="A13" s="4" t="s">
        <v>13</v>
      </c>
      <c r="B13" s="4" t="n">
        <f aca="false">SUMPRODUCT(--ISNUMBER(SEARCH("FR",'Pipeline A-B'!$D$2:$D$107)))</f>
        <v>64</v>
      </c>
      <c r="C13" s="5" t="e">
        <f aca="false">SUMPRODUCT(ISNUMBER(SEARCH("FR",'Pipeline A-B'!$D$2:$D$107))*'Pipeline A-B'!$P$2:$P$107)</f>
        <v>#N/A</v>
      </c>
    </row>
    <row r="14" customFormat="false" ht="15" hidden="false" customHeight="false" outlineLevel="0" collapsed="false">
      <c r="A14" s="4" t="s">
        <v>14</v>
      </c>
      <c r="B14" s="4" t="n">
        <f aca="false">SUMPRODUCT(--ISNUMBER(SEARCH("CH",'Pipeline A-B'!$D$2:$D$107)))</f>
        <v>32</v>
      </c>
      <c r="C14" s="5" t="e">
        <f aca="false">SUMPRODUCT(ISNUMBER(SEARCH("CH",'Pipeline A-B'!$D$2:$D$107))*'Pipeline A-B'!$P$2:$P$107)</f>
        <v>#N/A</v>
      </c>
    </row>
    <row r="15" customFormat="false" ht="15" hidden="false" customHeight="false" outlineLevel="0" collapsed="false">
      <c r="A15" s="4" t="s">
        <v>15</v>
      </c>
      <c r="B15" s="4" t="n">
        <f aca="false">SUMPRODUCT(--ISNUMBER(SEARCH("BR",'Pipeline A-B'!$D$2:$D$107)))</f>
        <v>45</v>
      </c>
      <c r="C15" s="5" t="e">
        <f aca="false">SUMPRODUCT(ISNUMBER(SEARCH("BR",'Pipeline A-B'!$D$2:$D$107))*'Pipeline A-B'!$P$2:$P$107)</f>
        <v>#N/A</v>
      </c>
    </row>
    <row r="16" customFormat="false" ht="15" hidden="false" customHeight="false" outlineLevel="0" collapsed="false">
      <c r="A16" s="4" t="s">
        <v>16</v>
      </c>
      <c r="B16" s="4" t="n">
        <f aca="false">SUMPRODUCT(--ISNUMBER(SEARCH("US",'Pipeline A-B'!$D$2:$D$107)))</f>
        <v>17</v>
      </c>
      <c r="C16" s="5" t="e">
        <f aca="false">SUMPRODUCT(ISNUMBER(SEARCH("US",'Pipeline A-B'!$D$2:$D$107))*'Pipeline A-B'!$P$2:$P$107)</f>
        <v>#N/A</v>
      </c>
    </row>
    <row r="17" customFormat="false" ht="15" hidden="false" customHeight="false" outlineLevel="0" collapsed="false">
      <c r="A17" s="4" t="s">
        <v>17</v>
      </c>
      <c r="B17" s="4" t="n">
        <f aca="false">SUMPRODUCT(--ISNUMBER(SEARCH("IL",'Pipeline A-B'!$D$2:$D$107)))</f>
        <v>14</v>
      </c>
      <c r="C17" s="5" t="e">
        <f aca="false">SUMPRODUCT(ISNUMBER(SEARCH("IL",'Pipeline A-B'!$D$2:$D$107))*'Pipeline A-B'!$P$2:$P$107)</f>
        <v>#N/A</v>
      </c>
    </row>
    <row r="18" customFormat="false" ht="15" hidden="false" customHeight="false" outlineLevel="0" collapsed="false">
      <c r="A18" s="2" t="s">
        <v>18</v>
      </c>
    </row>
    <row r="20" customFormat="false" ht="15" hidden="false" customHeight="false" outlineLevel="0" collapsed="false">
      <c r="A20" s="3" t="s">
        <v>19</v>
      </c>
      <c r="B20" s="3" t="s">
        <v>11</v>
      </c>
    </row>
    <row r="21" customFormat="false" ht="15" hidden="false" customHeight="false" outlineLevel="0" collapsed="false">
      <c r="A21" s="4" t="s">
        <v>20</v>
      </c>
      <c r="B21" s="4" t="n">
        <f aca="false">COUNTIF('Pipeline A-B'!$R$2:$R$107,"To contact")</f>
        <v>79</v>
      </c>
    </row>
    <row r="22" customFormat="false" ht="15" hidden="false" customHeight="false" outlineLevel="0" collapsed="false">
      <c r="A22" s="4" t="s">
        <v>21</v>
      </c>
      <c r="B22" s="4" t="n">
        <f aca="false">COUNTIF('Pipeline A-B'!$R$2:$R$107,"Contacted")</f>
        <v>0</v>
      </c>
    </row>
    <row r="23" customFormat="false" ht="15" hidden="false" customHeight="false" outlineLevel="0" collapsed="false">
      <c r="A23" s="4" t="s">
        <v>22</v>
      </c>
      <c r="B23" s="4" t="n">
        <f aca="false">COUNTIF('Pipeline A-B'!$R$2:$R$107,"Replied")</f>
        <v>0</v>
      </c>
    </row>
    <row r="24" customFormat="false" ht="15" hidden="false" customHeight="false" outlineLevel="0" collapsed="false">
      <c r="A24" s="4" t="s">
        <v>23</v>
      </c>
      <c r="B24" s="4" t="n">
        <f aca="false">COUNTIF('Pipeline A-B'!$R$2:$R$107,"Call booked")</f>
        <v>0</v>
      </c>
    </row>
    <row r="25" customFormat="false" ht="15" hidden="false" customHeight="false" outlineLevel="0" collapsed="false">
      <c r="A25" s="4" t="s">
        <v>24</v>
      </c>
      <c r="B25" s="4" t="n">
        <f aca="false">COUNTIF('Pipeline A-B'!$R$2:$R$107,"Proposal sent")</f>
        <v>0</v>
      </c>
    </row>
    <row r="26" customFormat="false" ht="15" hidden="false" customHeight="false" outlineLevel="0" collapsed="false">
      <c r="A26" s="4" t="s">
        <v>25</v>
      </c>
      <c r="B26" s="4" t="n">
        <f aca="false">COUNTIF('Pipeline A-B'!$R$2:$R$107,"Won")</f>
        <v>0</v>
      </c>
    </row>
    <row r="27" customFormat="false" ht="15" hidden="false" customHeight="false" outlineLevel="0" collapsed="false">
      <c r="A27" s="4" t="s">
        <v>26</v>
      </c>
      <c r="B27" s="4" t="n">
        <f aca="false">COUNTIF('Pipeline A-B'!$R$2:$R$107,"Lost")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6" min="5" style="0" width="6"/>
    <col collapsed="false" customWidth="true" hidden="false" outlineLevel="0" max="7" min="7" style="0" width="34"/>
    <col collapsed="false" customWidth="true" hidden="false" outlineLevel="0" max="8" min="8" style="0" width="50"/>
    <col collapsed="false" customWidth="true" hidden="false" outlineLevel="0" max="9" min="9" style="0" width="9"/>
    <col collapsed="false" customWidth="true" hidden="false" outlineLevel="0" max="10" min="10" style="0" width="13"/>
    <col collapsed="false" customWidth="true" hidden="false" outlineLevel="0" max="12" min="11" style="0" width="30"/>
    <col collapsed="false" customWidth="true" hidden="false" outlineLevel="0" max="13" min="13" style="0" width="16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7" min="17" style="0" width="11"/>
    <col collapsed="false" customWidth="true" hidden="false" outlineLevel="0" max="18" min="18" style="0" width="14"/>
    <col collapsed="false" customWidth="true" hidden="false" outlineLevel="0" max="19" min="19" style="0" width="36"/>
    <col collapsed="false" customWidth="true" hidden="false" outlineLevel="0" max="20" min="20" style="0" width="13"/>
    <col collapsed="false" customWidth="true" hidden="false" outlineLevel="0" max="21" min="21" style="0" width="10"/>
    <col collapsed="false" customWidth="true" hidden="false" outlineLevel="0" max="22" min="22" style="0" width="16"/>
  </cols>
  <sheetData>
    <row r="1" customFormat="false" ht="31.5" hidden="false" customHeight="true" outlineLevel="0" collapsed="false">
      <c r="A1" s="9" t="s">
        <v>27</v>
      </c>
      <c r="B1" s="9" t="s">
        <v>28</v>
      </c>
      <c r="C1" s="9" t="s">
        <v>29</v>
      </c>
      <c r="D1" s="9" t="s">
        <v>30</v>
      </c>
      <c r="E1" s="9" t="s">
        <v>31</v>
      </c>
      <c r="F1" s="9" t="s">
        <v>32</v>
      </c>
      <c r="G1" s="9" t="s">
        <v>33</v>
      </c>
      <c r="H1" s="9" t="s">
        <v>34</v>
      </c>
      <c r="I1" s="9" t="s">
        <v>35</v>
      </c>
      <c r="J1" s="9" t="s">
        <v>36</v>
      </c>
      <c r="K1" s="9" t="s">
        <v>37</v>
      </c>
      <c r="L1" s="9" t="s">
        <v>38</v>
      </c>
      <c r="M1" s="9" t="s">
        <v>39</v>
      </c>
      <c r="N1" s="9" t="s">
        <v>40</v>
      </c>
      <c r="O1" s="9" t="s">
        <v>41</v>
      </c>
      <c r="P1" s="9" t="s">
        <v>3</v>
      </c>
      <c r="Q1" s="9" t="s">
        <v>42</v>
      </c>
      <c r="R1" s="9" t="s">
        <v>19</v>
      </c>
      <c r="S1" s="9" t="s">
        <v>43</v>
      </c>
      <c r="T1" s="9" t="s">
        <v>44</v>
      </c>
      <c r="U1" s="9" t="s">
        <v>45</v>
      </c>
      <c r="V1" s="9" t="s">
        <v>46</v>
      </c>
    </row>
    <row r="2" customFormat="false" ht="23.85" hidden="false" customHeight="false" outlineLevel="0" collapsed="false">
      <c r="A2" s="10" t="s">
        <v>47</v>
      </c>
      <c r="B2" s="11" t="s">
        <v>48</v>
      </c>
      <c r="C2" s="10" t="s">
        <v>49</v>
      </c>
      <c r="D2" s="10" t="s">
        <v>50</v>
      </c>
      <c r="E2" s="12" t="s">
        <v>51</v>
      </c>
      <c r="F2" s="10" t="s">
        <v>52</v>
      </c>
      <c r="G2" s="13" t="s">
        <v>53</v>
      </c>
      <c r="H2" s="10" t="s">
        <v>54</v>
      </c>
      <c r="I2" s="10" t="n">
        <v>2026</v>
      </c>
      <c r="J2" s="10" t="s">
        <v>55</v>
      </c>
      <c r="K2" s="10" t="s">
        <v>56</v>
      </c>
      <c r="L2" s="10" t="s">
        <v>57</v>
      </c>
      <c r="M2" s="10" t="s">
        <v>58</v>
      </c>
      <c r="N2" s="14" t="e">
        <f aca="false">INDEX(Settings!$B$4:$B$10,MATCH(M2,Settings!$A$4:$A$10,0))</f>
        <v>#N/A</v>
      </c>
      <c r="O2" s="15" t="n">
        <f aca="false">IF(E2="A",IF(I2&gt;=2022,Settings!$B$13,Settings!$B$14),IF(E2="B",Settings!$B$15,Settings!$B$16))+IF(F2="S",Settings!$B$17,0)</f>
        <v>0.25</v>
      </c>
      <c r="P2" s="14" t="e">
        <f aca="false">N2*O2</f>
        <v>#N/A</v>
      </c>
      <c r="Q2" s="16" t="e">
        <f aca="false">P2*INDEX(Settings!$B$20:$B$22,MATCH(F2,Settings!$A$20:$A$22,0))</f>
        <v>#N/A</v>
      </c>
      <c r="R2" s="10" t="s">
        <v>59</v>
      </c>
      <c r="S2" s="10" t="s">
        <v>60</v>
      </c>
      <c r="T2" s="10"/>
      <c r="U2" s="10" t="s">
        <v>61</v>
      </c>
      <c r="V2" s="10" t="s">
        <v>62</v>
      </c>
    </row>
    <row r="3" customFormat="false" ht="23.85" hidden="false" customHeight="false" outlineLevel="0" collapsed="false">
      <c r="A3" s="10" t="s">
        <v>63</v>
      </c>
      <c r="B3" s="11" t="s">
        <v>64</v>
      </c>
      <c r="C3" s="10" t="s">
        <v>65</v>
      </c>
      <c r="D3" s="10" t="s">
        <v>50</v>
      </c>
      <c r="E3" s="12" t="s">
        <v>51</v>
      </c>
      <c r="F3" s="10" t="s">
        <v>52</v>
      </c>
      <c r="G3" s="13" t="s">
        <v>66</v>
      </c>
      <c r="H3" s="10" t="s">
        <v>67</v>
      </c>
      <c r="I3" s="10" t="n">
        <v>2026</v>
      </c>
      <c r="J3" s="10" t="s">
        <v>55</v>
      </c>
      <c r="K3" s="10" t="s">
        <v>68</v>
      </c>
      <c r="L3" s="10" t="s">
        <v>69</v>
      </c>
      <c r="M3" s="10" t="s">
        <v>70</v>
      </c>
      <c r="N3" s="14" t="e">
        <f aca="false">INDEX(Settings!$B$4:$B$10,MATCH(M3,Settings!$A$4:$A$10,0))</f>
        <v>#N/A</v>
      </c>
      <c r="O3" s="15" t="n">
        <f aca="false">IF(E3="A",IF(I3&gt;=2022,Settings!$B$13,Settings!$B$14),IF(E3="B",Settings!$B$15,Settings!$B$16))+IF(F3="S",Settings!$B$17,0)</f>
        <v>0.25</v>
      </c>
      <c r="P3" s="14" t="e">
        <f aca="false">N3*O3</f>
        <v>#N/A</v>
      </c>
      <c r="Q3" s="16" t="e">
        <f aca="false">P3*INDEX(Settings!$B$20:$B$22,MATCH(F3,Settings!$A$20:$A$22,0))</f>
        <v>#N/A</v>
      </c>
      <c r="R3" s="10" t="s">
        <v>59</v>
      </c>
      <c r="S3" s="10" t="s">
        <v>60</v>
      </c>
      <c r="T3" s="10"/>
      <c r="U3" s="10" t="s">
        <v>61</v>
      </c>
      <c r="V3" s="10" t="s">
        <v>62</v>
      </c>
    </row>
    <row r="4" customFormat="false" ht="23.85" hidden="false" customHeight="false" outlineLevel="0" collapsed="false">
      <c r="A4" s="10" t="s">
        <v>71</v>
      </c>
      <c r="B4" s="11" t="s">
        <v>72</v>
      </c>
      <c r="C4" s="10" t="s">
        <v>65</v>
      </c>
      <c r="D4" s="10" t="s">
        <v>50</v>
      </c>
      <c r="E4" s="12" t="s">
        <v>51</v>
      </c>
      <c r="F4" s="10" t="s">
        <v>52</v>
      </c>
      <c r="G4" s="13" t="s">
        <v>73</v>
      </c>
      <c r="H4" s="10" t="s">
        <v>74</v>
      </c>
      <c r="I4" s="10" t="n">
        <v>2026</v>
      </c>
      <c r="J4" s="10" t="s">
        <v>55</v>
      </c>
      <c r="K4" s="10" t="s">
        <v>75</v>
      </c>
      <c r="L4" s="10" t="s">
        <v>76</v>
      </c>
      <c r="M4" s="10" t="s">
        <v>70</v>
      </c>
      <c r="N4" s="14" t="e">
        <f aca="false">INDEX(Settings!$B$4:$B$10,MATCH(M4,Settings!$A$4:$A$10,0))</f>
        <v>#N/A</v>
      </c>
      <c r="O4" s="15" t="n">
        <f aca="false">IF(E4="A",IF(I4&gt;=2022,Settings!$B$13,Settings!$B$14),IF(E4="B",Settings!$B$15,Settings!$B$16))+IF(F4="S",Settings!$B$17,0)</f>
        <v>0.25</v>
      </c>
      <c r="P4" s="14" t="e">
        <f aca="false">N4*O4</f>
        <v>#N/A</v>
      </c>
      <c r="Q4" s="16" t="e">
        <f aca="false">P4*INDEX(Settings!$B$20:$B$22,MATCH(F4,Settings!$A$20:$A$22,0))</f>
        <v>#N/A</v>
      </c>
      <c r="R4" s="10" t="s">
        <v>59</v>
      </c>
      <c r="S4" s="10" t="s">
        <v>60</v>
      </c>
      <c r="T4" s="10"/>
      <c r="U4" s="10" t="s">
        <v>61</v>
      </c>
      <c r="V4" s="10" t="s">
        <v>62</v>
      </c>
    </row>
    <row r="5" customFormat="false" ht="46.25" hidden="false" customHeight="false" outlineLevel="0" collapsed="false">
      <c r="A5" s="10" t="s">
        <v>77</v>
      </c>
      <c r="B5" s="11" t="s">
        <v>78</v>
      </c>
      <c r="C5" s="10" t="s">
        <v>79</v>
      </c>
      <c r="D5" s="10" t="s">
        <v>50</v>
      </c>
      <c r="E5" s="12" t="s">
        <v>51</v>
      </c>
      <c r="F5" s="10" t="s">
        <v>52</v>
      </c>
      <c r="G5" s="13" t="s">
        <v>80</v>
      </c>
      <c r="H5" s="10" t="s">
        <v>81</v>
      </c>
      <c r="I5" s="10" t="n">
        <v>2026</v>
      </c>
      <c r="J5" s="10" t="s">
        <v>82</v>
      </c>
      <c r="K5" s="10" t="s">
        <v>83</v>
      </c>
      <c r="L5" s="10" t="s">
        <v>84</v>
      </c>
      <c r="M5" s="10" t="s">
        <v>85</v>
      </c>
      <c r="N5" s="14" t="e">
        <f aca="false">INDEX(Settings!$B$4:$B$10,MATCH(M5,Settings!$A$4:$A$10,0))</f>
        <v>#N/A</v>
      </c>
      <c r="O5" s="15" t="n">
        <f aca="false">IF(E5="A",IF(I5&gt;=2022,Settings!$B$13,Settings!$B$14),IF(E5="B",Settings!$B$15,Settings!$B$16))+IF(F5="S",Settings!$B$17,0)</f>
        <v>0.25</v>
      </c>
      <c r="P5" s="14" t="e">
        <f aca="false">N5*O5</f>
        <v>#N/A</v>
      </c>
      <c r="Q5" s="16" t="e">
        <f aca="false">P5*INDEX(Settings!$B$20:$B$22,MATCH(F5,Settings!$A$20:$A$22,0))</f>
        <v>#N/A</v>
      </c>
      <c r="R5" s="10" t="s">
        <v>59</v>
      </c>
      <c r="S5" s="10" t="s">
        <v>86</v>
      </c>
      <c r="T5" s="10"/>
      <c r="U5" s="10" t="s">
        <v>61</v>
      </c>
      <c r="V5" s="10" t="s">
        <v>62</v>
      </c>
    </row>
    <row r="6" customFormat="false" ht="23.85" hidden="false" customHeight="false" outlineLevel="0" collapsed="false">
      <c r="A6" s="10" t="s">
        <v>87</v>
      </c>
      <c r="B6" s="11" t="s">
        <v>88</v>
      </c>
      <c r="C6" s="10" t="s">
        <v>89</v>
      </c>
      <c r="D6" s="10" t="s">
        <v>50</v>
      </c>
      <c r="E6" s="12" t="s">
        <v>51</v>
      </c>
      <c r="F6" s="10" t="s">
        <v>52</v>
      </c>
      <c r="G6" s="13" t="s">
        <v>90</v>
      </c>
      <c r="H6" s="10" t="s">
        <v>91</v>
      </c>
      <c r="I6" s="10" t="n">
        <v>2026</v>
      </c>
      <c r="J6" s="10" t="s">
        <v>55</v>
      </c>
      <c r="K6" s="10" t="s">
        <v>92</v>
      </c>
      <c r="L6" s="10" t="s">
        <v>93</v>
      </c>
      <c r="M6" s="10" t="s">
        <v>70</v>
      </c>
      <c r="N6" s="14" t="e">
        <f aca="false">INDEX(Settings!$B$4:$B$10,MATCH(M6,Settings!$A$4:$A$10,0))</f>
        <v>#N/A</v>
      </c>
      <c r="O6" s="15" t="n">
        <f aca="false">IF(E6="A",IF(I6&gt;=2022,Settings!$B$13,Settings!$B$14),IF(E6="B",Settings!$B$15,Settings!$B$16))+IF(F6="S",Settings!$B$17,0)</f>
        <v>0.25</v>
      </c>
      <c r="P6" s="14" t="e">
        <f aca="false">N6*O6</f>
        <v>#N/A</v>
      </c>
      <c r="Q6" s="16" t="e">
        <f aca="false">P6*INDEX(Settings!$B$20:$B$22,MATCH(F6,Settings!$A$20:$A$22,0))</f>
        <v>#N/A</v>
      </c>
      <c r="R6" s="10" t="s">
        <v>59</v>
      </c>
      <c r="S6" s="10" t="s">
        <v>60</v>
      </c>
      <c r="T6" s="10"/>
      <c r="U6" s="10" t="s">
        <v>61</v>
      </c>
      <c r="V6" s="10" t="s">
        <v>62</v>
      </c>
    </row>
    <row r="7" customFormat="false" ht="35.05" hidden="false" customHeight="false" outlineLevel="0" collapsed="false">
      <c r="A7" s="10" t="s">
        <v>94</v>
      </c>
      <c r="B7" s="11" t="s">
        <v>95</v>
      </c>
      <c r="C7" s="10" t="s">
        <v>96</v>
      </c>
      <c r="D7" s="10" t="s">
        <v>97</v>
      </c>
      <c r="E7" s="12" t="s">
        <v>51</v>
      </c>
      <c r="F7" s="10" t="s">
        <v>52</v>
      </c>
      <c r="G7" s="13" t="s">
        <v>98</v>
      </c>
      <c r="H7" s="10" t="s">
        <v>99</v>
      </c>
      <c r="I7" s="10" t="n">
        <v>2026</v>
      </c>
      <c r="J7" s="10" t="s">
        <v>55</v>
      </c>
      <c r="K7" s="10" t="s">
        <v>100</v>
      </c>
      <c r="L7" s="10" t="s">
        <v>101</v>
      </c>
      <c r="M7" s="10" t="s">
        <v>102</v>
      </c>
      <c r="N7" s="14" t="e">
        <f aca="false">INDEX(Settings!$B$4:$B$10,MATCH(M7,Settings!$A$4:$A$10,0))</f>
        <v>#N/A</v>
      </c>
      <c r="O7" s="15" t="n">
        <f aca="false">IF(E7="A",IF(I7&gt;=2022,Settings!$B$13,Settings!$B$14),IF(E7="B",Settings!$B$15,Settings!$B$16))+IF(F7="S",Settings!$B$17,0)</f>
        <v>0.25</v>
      </c>
      <c r="P7" s="14" t="e">
        <f aca="false">N7*O7</f>
        <v>#N/A</v>
      </c>
      <c r="Q7" s="16" t="e">
        <f aca="false">P7*INDEX(Settings!$B$20:$B$22,MATCH(F7,Settings!$A$20:$A$22,0))</f>
        <v>#N/A</v>
      </c>
      <c r="R7" s="10" t="s">
        <v>59</v>
      </c>
      <c r="S7" s="10" t="s">
        <v>60</v>
      </c>
      <c r="T7" s="10"/>
      <c r="U7" s="10" t="s">
        <v>61</v>
      </c>
      <c r="V7" s="10" t="s">
        <v>62</v>
      </c>
    </row>
    <row r="8" customFormat="false" ht="23.85" hidden="false" customHeight="false" outlineLevel="0" collapsed="false">
      <c r="A8" s="10" t="s">
        <v>103</v>
      </c>
      <c r="B8" s="11" t="s">
        <v>104</v>
      </c>
      <c r="C8" s="10" t="s">
        <v>105</v>
      </c>
      <c r="D8" s="10" t="s">
        <v>106</v>
      </c>
      <c r="E8" s="12" t="s">
        <v>51</v>
      </c>
      <c r="F8" s="10" t="s">
        <v>52</v>
      </c>
      <c r="G8" s="13" t="s">
        <v>107</v>
      </c>
      <c r="H8" s="10" t="s">
        <v>108</v>
      </c>
      <c r="I8" s="10" t="n">
        <v>2026</v>
      </c>
      <c r="J8" s="10" t="s">
        <v>55</v>
      </c>
      <c r="K8" s="10" t="s">
        <v>109</v>
      </c>
      <c r="L8" s="10" t="s">
        <v>110</v>
      </c>
      <c r="M8" s="10" t="s">
        <v>102</v>
      </c>
      <c r="N8" s="14" t="e">
        <f aca="false">INDEX(Settings!$B$4:$B$10,MATCH(M8,Settings!$A$4:$A$10,0))</f>
        <v>#N/A</v>
      </c>
      <c r="O8" s="15" t="n">
        <f aca="false">IF(E8="A",IF(I8&gt;=2022,Settings!$B$13,Settings!$B$14),IF(E8="B",Settings!$B$15,Settings!$B$16))+IF(F8="S",Settings!$B$17,0)</f>
        <v>0.25</v>
      </c>
      <c r="P8" s="14" t="e">
        <f aca="false">N8*O8</f>
        <v>#N/A</v>
      </c>
      <c r="Q8" s="16" t="e">
        <f aca="false">P8*INDEX(Settings!$B$20:$B$22,MATCH(F8,Settings!$A$20:$A$22,0))</f>
        <v>#N/A</v>
      </c>
      <c r="R8" s="10" t="s">
        <v>59</v>
      </c>
      <c r="S8" s="10" t="s">
        <v>60</v>
      </c>
      <c r="T8" s="10"/>
      <c r="U8" s="10" t="s">
        <v>61</v>
      </c>
      <c r="V8" s="10" t="s">
        <v>62</v>
      </c>
    </row>
    <row r="9" customFormat="false" ht="35.05" hidden="false" customHeight="false" outlineLevel="0" collapsed="false">
      <c r="A9" s="10" t="s">
        <v>111</v>
      </c>
      <c r="B9" s="11" t="s">
        <v>112</v>
      </c>
      <c r="C9" s="10" t="s">
        <v>96</v>
      </c>
      <c r="D9" s="10" t="s">
        <v>97</v>
      </c>
      <c r="E9" s="12" t="s">
        <v>51</v>
      </c>
      <c r="F9" s="10" t="s">
        <v>52</v>
      </c>
      <c r="G9" s="13" t="s">
        <v>113</v>
      </c>
      <c r="H9" s="10" t="s">
        <v>114</v>
      </c>
      <c r="I9" s="10" t="n">
        <v>2026</v>
      </c>
      <c r="J9" s="10" t="s">
        <v>55</v>
      </c>
      <c r="K9" s="10" t="s">
        <v>100</v>
      </c>
      <c r="L9" s="10" t="s">
        <v>115</v>
      </c>
      <c r="M9" s="10" t="s">
        <v>102</v>
      </c>
      <c r="N9" s="14" t="e">
        <f aca="false">INDEX(Settings!$B$4:$B$10,MATCH(M9,Settings!$A$4:$A$10,0))</f>
        <v>#N/A</v>
      </c>
      <c r="O9" s="15" t="n">
        <f aca="false">IF(E9="A",IF(I9&gt;=2022,Settings!$B$13,Settings!$B$14),IF(E9="B",Settings!$B$15,Settings!$B$16))+IF(F9="S",Settings!$B$17,0)</f>
        <v>0.25</v>
      </c>
      <c r="P9" s="14" t="e">
        <f aca="false">N9*O9</f>
        <v>#N/A</v>
      </c>
      <c r="Q9" s="16" t="e">
        <f aca="false">P9*INDEX(Settings!$B$20:$B$22,MATCH(F9,Settings!$A$20:$A$22,0))</f>
        <v>#N/A</v>
      </c>
      <c r="R9" s="10" t="s">
        <v>59</v>
      </c>
      <c r="S9" s="10" t="s">
        <v>60</v>
      </c>
      <c r="T9" s="10"/>
      <c r="U9" s="10" t="s">
        <v>61</v>
      </c>
      <c r="V9" s="10" t="s">
        <v>62</v>
      </c>
    </row>
    <row r="10" customFormat="false" ht="23.85" hidden="false" customHeight="false" outlineLevel="0" collapsed="false">
      <c r="A10" s="10" t="s">
        <v>116</v>
      </c>
      <c r="B10" s="11" t="s">
        <v>117</v>
      </c>
      <c r="C10" s="10" t="s">
        <v>118</v>
      </c>
      <c r="D10" s="10" t="s">
        <v>119</v>
      </c>
      <c r="E10" s="12" t="s">
        <v>51</v>
      </c>
      <c r="F10" s="10" t="s">
        <v>52</v>
      </c>
      <c r="G10" s="13" t="s">
        <v>120</v>
      </c>
      <c r="H10" s="10" t="s">
        <v>121</v>
      </c>
      <c r="I10" s="10" t="n">
        <v>2026</v>
      </c>
      <c r="J10" s="10" t="s">
        <v>82</v>
      </c>
      <c r="K10" s="10" t="s">
        <v>122</v>
      </c>
      <c r="L10" s="10" t="s">
        <v>123</v>
      </c>
      <c r="M10" s="10" t="s">
        <v>102</v>
      </c>
      <c r="N10" s="14" t="e">
        <f aca="false">INDEX(Settings!$B$4:$B$10,MATCH(M10,Settings!$A$4:$A$10,0))</f>
        <v>#N/A</v>
      </c>
      <c r="O10" s="15" t="n">
        <f aca="false">IF(E10="A",IF(I10&gt;=2022,Settings!$B$13,Settings!$B$14),IF(E10="B",Settings!$B$15,Settings!$B$16))+IF(F10="S",Settings!$B$17,0)</f>
        <v>0.25</v>
      </c>
      <c r="P10" s="14" t="e">
        <f aca="false">N10*O10</f>
        <v>#N/A</v>
      </c>
      <c r="Q10" s="16" t="e">
        <f aca="false">P10*INDEX(Settings!$B$20:$B$22,MATCH(F10,Settings!$A$20:$A$22,0))</f>
        <v>#N/A</v>
      </c>
      <c r="R10" s="10" t="s">
        <v>59</v>
      </c>
      <c r="S10" s="10" t="s">
        <v>60</v>
      </c>
      <c r="T10" s="10"/>
      <c r="U10" s="10" t="s">
        <v>61</v>
      </c>
      <c r="V10" s="10" t="s">
        <v>62</v>
      </c>
    </row>
    <row r="11" customFormat="false" ht="23.85" hidden="false" customHeight="false" outlineLevel="0" collapsed="false">
      <c r="A11" s="10" t="s">
        <v>124</v>
      </c>
      <c r="B11" s="11" t="s">
        <v>125</v>
      </c>
      <c r="C11" s="10" t="s">
        <v>126</v>
      </c>
      <c r="D11" s="10" t="s">
        <v>127</v>
      </c>
      <c r="E11" s="12" t="s">
        <v>51</v>
      </c>
      <c r="F11" s="10" t="s">
        <v>52</v>
      </c>
      <c r="G11" s="13" t="s">
        <v>128</v>
      </c>
      <c r="H11" s="10" t="s">
        <v>129</v>
      </c>
      <c r="I11" s="10" t="n">
        <v>2026</v>
      </c>
      <c r="J11" s="10" t="s">
        <v>82</v>
      </c>
      <c r="K11" s="10" t="s">
        <v>130</v>
      </c>
      <c r="L11" s="10" t="s">
        <v>131</v>
      </c>
      <c r="M11" s="10" t="s">
        <v>102</v>
      </c>
      <c r="N11" s="14" t="e">
        <f aca="false">INDEX(Settings!$B$4:$B$10,MATCH(M11,Settings!$A$4:$A$10,0))</f>
        <v>#N/A</v>
      </c>
      <c r="O11" s="15" t="n">
        <f aca="false">IF(E11="A",IF(I11&gt;=2022,Settings!$B$13,Settings!$B$14),IF(E11="B",Settings!$B$15,Settings!$B$16))+IF(F11="S",Settings!$B$17,0)</f>
        <v>0.25</v>
      </c>
      <c r="P11" s="14" t="e">
        <f aca="false">N11*O11</f>
        <v>#N/A</v>
      </c>
      <c r="Q11" s="16" t="e">
        <f aca="false">P11*INDEX(Settings!$B$20:$B$22,MATCH(F11,Settings!$A$20:$A$22,0))</f>
        <v>#N/A</v>
      </c>
      <c r="R11" s="10" t="s">
        <v>59</v>
      </c>
      <c r="S11" s="10" t="s">
        <v>60</v>
      </c>
      <c r="T11" s="10"/>
      <c r="U11" s="10" t="s">
        <v>61</v>
      </c>
      <c r="V11" s="10" t="s">
        <v>62</v>
      </c>
    </row>
    <row r="12" customFormat="false" ht="23.85" hidden="false" customHeight="false" outlineLevel="0" collapsed="false">
      <c r="A12" s="10" t="s">
        <v>132</v>
      </c>
      <c r="B12" s="11" t="s">
        <v>133</v>
      </c>
      <c r="C12" s="10" t="s">
        <v>105</v>
      </c>
      <c r="D12" s="10" t="s">
        <v>134</v>
      </c>
      <c r="E12" s="12" t="s">
        <v>51</v>
      </c>
      <c r="F12" s="10" t="s">
        <v>52</v>
      </c>
      <c r="G12" s="13" t="s">
        <v>135</v>
      </c>
      <c r="H12" s="10" t="s">
        <v>136</v>
      </c>
      <c r="I12" s="10" t="n">
        <v>2026</v>
      </c>
      <c r="J12" s="10" t="s">
        <v>82</v>
      </c>
      <c r="K12" s="10" t="s">
        <v>137</v>
      </c>
      <c r="L12" s="10" t="s">
        <v>138</v>
      </c>
      <c r="M12" s="10" t="s">
        <v>102</v>
      </c>
      <c r="N12" s="14" t="e">
        <f aca="false">INDEX(Settings!$B$4:$B$10,MATCH(M12,Settings!$A$4:$A$10,0))</f>
        <v>#N/A</v>
      </c>
      <c r="O12" s="15" t="n">
        <f aca="false">IF(E12="A",IF(I12&gt;=2022,Settings!$B$13,Settings!$B$14),IF(E12="B",Settings!$B$15,Settings!$B$16))+IF(F12="S",Settings!$B$17,0)</f>
        <v>0.25</v>
      </c>
      <c r="P12" s="14" t="e">
        <f aca="false">N12*O12</f>
        <v>#N/A</v>
      </c>
      <c r="Q12" s="16" t="e">
        <f aca="false">P12*INDEX(Settings!$B$20:$B$22,MATCH(F12,Settings!$A$20:$A$22,0))</f>
        <v>#N/A</v>
      </c>
      <c r="R12" s="10" t="s">
        <v>59</v>
      </c>
      <c r="S12" s="10" t="s">
        <v>60</v>
      </c>
      <c r="T12" s="10"/>
      <c r="U12" s="10" t="s">
        <v>61</v>
      </c>
      <c r="V12" s="10" t="s">
        <v>62</v>
      </c>
    </row>
    <row r="13" customFormat="false" ht="35.05" hidden="false" customHeight="false" outlineLevel="0" collapsed="false">
      <c r="A13" s="10" t="s">
        <v>139</v>
      </c>
      <c r="B13" s="11" t="s">
        <v>140</v>
      </c>
      <c r="C13" s="10" t="s">
        <v>96</v>
      </c>
      <c r="D13" s="10" t="s">
        <v>97</v>
      </c>
      <c r="E13" s="12" t="s">
        <v>51</v>
      </c>
      <c r="F13" s="10" t="s">
        <v>52</v>
      </c>
      <c r="G13" s="13" t="s">
        <v>141</v>
      </c>
      <c r="H13" s="10" t="s">
        <v>142</v>
      </c>
      <c r="I13" s="10" t="n">
        <v>2026</v>
      </c>
      <c r="J13" s="10" t="s">
        <v>55</v>
      </c>
      <c r="K13" s="10" t="s">
        <v>143</v>
      </c>
      <c r="L13" s="10" t="s">
        <v>144</v>
      </c>
      <c r="M13" s="10" t="s">
        <v>102</v>
      </c>
      <c r="N13" s="14" t="e">
        <f aca="false">INDEX(Settings!$B$4:$B$10,MATCH(M13,Settings!$A$4:$A$10,0))</f>
        <v>#N/A</v>
      </c>
      <c r="O13" s="15" t="n">
        <f aca="false">IF(E13="A",IF(I13&gt;=2022,Settings!$B$13,Settings!$B$14),IF(E13="B",Settings!$B$15,Settings!$B$16))+IF(F13="S",Settings!$B$17,0)</f>
        <v>0.25</v>
      </c>
      <c r="P13" s="14" t="e">
        <f aca="false">N13*O13</f>
        <v>#N/A</v>
      </c>
      <c r="Q13" s="16" t="e">
        <f aca="false">P13*INDEX(Settings!$B$20:$B$22,MATCH(F13,Settings!$A$20:$A$22,0))</f>
        <v>#N/A</v>
      </c>
      <c r="R13" s="10" t="s">
        <v>59</v>
      </c>
      <c r="S13" s="10" t="s">
        <v>60</v>
      </c>
      <c r="T13" s="10"/>
      <c r="U13" s="10" t="s">
        <v>61</v>
      </c>
      <c r="V13" s="10" t="s">
        <v>62</v>
      </c>
    </row>
    <row r="14" customFormat="false" ht="23.85" hidden="false" customHeight="false" outlineLevel="0" collapsed="false">
      <c r="A14" s="10" t="s">
        <v>145</v>
      </c>
      <c r="B14" s="11" t="s">
        <v>146</v>
      </c>
      <c r="C14" s="10" t="s">
        <v>147</v>
      </c>
      <c r="D14" s="10" t="s">
        <v>134</v>
      </c>
      <c r="E14" s="12" t="s">
        <v>51</v>
      </c>
      <c r="F14" s="10" t="s">
        <v>52</v>
      </c>
      <c r="G14" s="13" t="s">
        <v>148</v>
      </c>
      <c r="H14" s="10" t="s">
        <v>149</v>
      </c>
      <c r="I14" s="10" t="n">
        <v>2026</v>
      </c>
      <c r="J14" s="10" t="s">
        <v>82</v>
      </c>
      <c r="K14" s="10" t="s">
        <v>150</v>
      </c>
      <c r="L14" s="10" t="s">
        <v>151</v>
      </c>
      <c r="M14" s="10" t="s">
        <v>102</v>
      </c>
      <c r="N14" s="14" t="e">
        <f aca="false">INDEX(Settings!$B$4:$B$10,MATCH(M14,Settings!$A$4:$A$10,0))</f>
        <v>#N/A</v>
      </c>
      <c r="O14" s="15" t="n">
        <f aca="false">IF(E14="A",IF(I14&gt;=2022,Settings!$B$13,Settings!$B$14),IF(E14="B",Settings!$B$15,Settings!$B$16))+IF(F14="S",Settings!$B$17,0)</f>
        <v>0.25</v>
      </c>
      <c r="P14" s="14" t="e">
        <f aca="false">N14*O14</f>
        <v>#N/A</v>
      </c>
      <c r="Q14" s="16" t="e">
        <f aca="false">P14*INDEX(Settings!$B$20:$B$22,MATCH(F14,Settings!$A$20:$A$22,0))</f>
        <v>#N/A</v>
      </c>
      <c r="R14" s="10" t="s">
        <v>59</v>
      </c>
      <c r="S14" s="10" t="s">
        <v>60</v>
      </c>
      <c r="T14" s="10"/>
      <c r="U14" s="10" t="s">
        <v>61</v>
      </c>
      <c r="V14" s="10" t="s">
        <v>62</v>
      </c>
    </row>
    <row r="15" customFormat="false" ht="35.05" hidden="false" customHeight="false" outlineLevel="0" collapsed="false">
      <c r="A15" s="10" t="s">
        <v>152</v>
      </c>
      <c r="B15" s="11" t="s">
        <v>153</v>
      </c>
      <c r="C15" s="10" t="s">
        <v>105</v>
      </c>
      <c r="D15" s="10" t="s">
        <v>119</v>
      </c>
      <c r="E15" s="12" t="s">
        <v>51</v>
      </c>
      <c r="F15" s="10" t="s">
        <v>52</v>
      </c>
      <c r="G15" s="13" t="s">
        <v>154</v>
      </c>
      <c r="H15" s="10" t="s">
        <v>155</v>
      </c>
      <c r="I15" s="10" t="n">
        <v>2026</v>
      </c>
      <c r="J15" s="10" t="s">
        <v>82</v>
      </c>
      <c r="K15" s="10" t="s">
        <v>156</v>
      </c>
      <c r="L15" s="10" t="s">
        <v>157</v>
      </c>
      <c r="M15" s="10" t="s">
        <v>102</v>
      </c>
      <c r="N15" s="14" t="e">
        <f aca="false">INDEX(Settings!$B$4:$B$10,MATCH(M15,Settings!$A$4:$A$10,0))</f>
        <v>#N/A</v>
      </c>
      <c r="O15" s="15" t="n">
        <f aca="false">IF(E15="A",IF(I15&gt;=2022,Settings!$B$13,Settings!$B$14),IF(E15="B",Settings!$B$15,Settings!$B$16))+IF(F15="S",Settings!$B$17,0)</f>
        <v>0.25</v>
      </c>
      <c r="P15" s="14" t="e">
        <f aca="false">N15*O15</f>
        <v>#N/A</v>
      </c>
      <c r="Q15" s="16" t="e">
        <f aca="false">P15*INDEX(Settings!$B$20:$B$22,MATCH(F15,Settings!$A$20:$A$22,0))</f>
        <v>#N/A</v>
      </c>
      <c r="R15" s="10" t="s">
        <v>59</v>
      </c>
      <c r="S15" s="10" t="s">
        <v>60</v>
      </c>
      <c r="T15" s="10"/>
      <c r="U15" s="10" t="s">
        <v>61</v>
      </c>
      <c r="V15" s="10" t="s">
        <v>62</v>
      </c>
    </row>
    <row r="16" customFormat="false" ht="23.85" hidden="false" customHeight="false" outlineLevel="0" collapsed="false">
      <c r="A16" s="10" t="s">
        <v>158</v>
      </c>
      <c r="B16" s="11" t="s">
        <v>159</v>
      </c>
      <c r="C16" s="10" t="s">
        <v>105</v>
      </c>
      <c r="D16" s="10" t="s">
        <v>127</v>
      </c>
      <c r="E16" s="12" t="s">
        <v>51</v>
      </c>
      <c r="F16" s="10" t="s">
        <v>52</v>
      </c>
      <c r="G16" s="13" t="s">
        <v>160</v>
      </c>
      <c r="H16" s="10" t="s">
        <v>161</v>
      </c>
      <c r="I16" s="10" t="n">
        <v>2026</v>
      </c>
      <c r="J16" s="10" t="s">
        <v>55</v>
      </c>
      <c r="K16" s="10" t="s">
        <v>162</v>
      </c>
      <c r="L16" s="10" t="s">
        <v>163</v>
      </c>
      <c r="M16" s="10" t="s">
        <v>102</v>
      </c>
      <c r="N16" s="14" t="e">
        <f aca="false">INDEX(Settings!$B$4:$B$10,MATCH(M16,Settings!$A$4:$A$10,0))</f>
        <v>#N/A</v>
      </c>
      <c r="O16" s="15" t="n">
        <f aca="false">IF(E16="A",IF(I16&gt;=2022,Settings!$B$13,Settings!$B$14),IF(E16="B",Settings!$B$15,Settings!$B$16))+IF(F16="S",Settings!$B$17,0)</f>
        <v>0.25</v>
      </c>
      <c r="P16" s="14" t="e">
        <f aca="false">N16*O16</f>
        <v>#N/A</v>
      </c>
      <c r="Q16" s="16" t="e">
        <f aca="false">P16*INDEX(Settings!$B$20:$B$22,MATCH(F16,Settings!$A$20:$A$22,0))</f>
        <v>#N/A</v>
      </c>
      <c r="R16" s="10" t="s">
        <v>59</v>
      </c>
      <c r="S16" s="10" t="s">
        <v>60</v>
      </c>
      <c r="T16" s="10"/>
      <c r="U16" s="10" t="s">
        <v>61</v>
      </c>
      <c r="V16" s="10" t="s">
        <v>62</v>
      </c>
    </row>
    <row r="17" customFormat="false" ht="23.85" hidden="false" customHeight="false" outlineLevel="0" collapsed="false">
      <c r="A17" s="10" t="s">
        <v>164</v>
      </c>
      <c r="B17" s="11" t="s">
        <v>165</v>
      </c>
      <c r="C17" s="10" t="s">
        <v>166</v>
      </c>
      <c r="D17" s="10" t="s">
        <v>50</v>
      </c>
      <c r="E17" s="12" t="s">
        <v>51</v>
      </c>
      <c r="F17" s="10" t="s">
        <v>52</v>
      </c>
      <c r="G17" s="13" t="s">
        <v>167</v>
      </c>
      <c r="H17" s="10" t="s">
        <v>168</v>
      </c>
      <c r="I17" s="10" t="n">
        <v>2026</v>
      </c>
      <c r="J17" s="10" t="s">
        <v>55</v>
      </c>
      <c r="K17" s="10" t="s">
        <v>169</v>
      </c>
      <c r="L17" s="10" t="s">
        <v>69</v>
      </c>
      <c r="M17" s="10" t="s">
        <v>170</v>
      </c>
      <c r="N17" s="14" t="e">
        <f aca="false">INDEX(Settings!$B$4:$B$10,MATCH(M17,Settings!$A$4:$A$10,0))</f>
        <v>#N/A</v>
      </c>
      <c r="O17" s="15" t="n">
        <f aca="false">IF(E17="A",IF(I17&gt;=2022,Settings!$B$13,Settings!$B$14),IF(E17="B",Settings!$B$15,Settings!$B$16))+IF(F17="S",Settings!$B$17,0)</f>
        <v>0.25</v>
      </c>
      <c r="P17" s="14" t="e">
        <f aca="false">N17*O17</f>
        <v>#N/A</v>
      </c>
      <c r="Q17" s="16" t="e">
        <f aca="false">P17*INDEX(Settings!$B$20:$B$22,MATCH(F17,Settings!$A$20:$A$22,0))</f>
        <v>#N/A</v>
      </c>
      <c r="R17" s="10" t="s">
        <v>59</v>
      </c>
      <c r="S17" s="10" t="s">
        <v>60</v>
      </c>
      <c r="T17" s="10"/>
      <c r="U17" s="10" t="s">
        <v>61</v>
      </c>
      <c r="V17" s="10" t="s">
        <v>62</v>
      </c>
    </row>
    <row r="18" customFormat="false" ht="35.05" hidden="false" customHeight="false" outlineLevel="0" collapsed="false">
      <c r="A18" s="10" t="s">
        <v>171</v>
      </c>
      <c r="B18" s="11" t="s">
        <v>172</v>
      </c>
      <c r="C18" s="10" t="s">
        <v>173</v>
      </c>
      <c r="D18" s="10" t="s">
        <v>97</v>
      </c>
      <c r="E18" s="12" t="s">
        <v>51</v>
      </c>
      <c r="F18" s="10" t="s">
        <v>52</v>
      </c>
      <c r="G18" s="13" t="s">
        <v>174</v>
      </c>
      <c r="H18" s="10" t="s">
        <v>175</v>
      </c>
      <c r="I18" s="10" t="n">
        <v>2026</v>
      </c>
      <c r="J18" s="10" t="s">
        <v>82</v>
      </c>
      <c r="K18" s="10" t="s">
        <v>176</v>
      </c>
      <c r="L18" s="10" t="s">
        <v>177</v>
      </c>
      <c r="M18" s="10" t="s">
        <v>102</v>
      </c>
      <c r="N18" s="14" t="e">
        <f aca="false">INDEX(Settings!$B$4:$B$10,MATCH(M18,Settings!$A$4:$A$10,0))</f>
        <v>#N/A</v>
      </c>
      <c r="O18" s="15" t="n">
        <f aca="false">IF(E18="A",IF(I18&gt;=2022,Settings!$B$13,Settings!$B$14),IF(E18="B",Settings!$B$15,Settings!$B$16))+IF(F18="S",Settings!$B$17,0)</f>
        <v>0.25</v>
      </c>
      <c r="P18" s="14" t="e">
        <f aca="false">N18*O18</f>
        <v>#N/A</v>
      </c>
      <c r="Q18" s="16" t="e">
        <f aca="false">P18*INDEX(Settings!$B$20:$B$22,MATCH(F18,Settings!$A$20:$A$22,0))</f>
        <v>#N/A</v>
      </c>
      <c r="R18" s="10" t="s">
        <v>59</v>
      </c>
      <c r="S18" s="10" t="s">
        <v>60</v>
      </c>
      <c r="T18" s="10"/>
      <c r="U18" s="10" t="s">
        <v>61</v>
      </c>
      <c r="V18" s="10" t="s">
        <v>62</v>
      </c>
    </row>
    <row r="19" customFormat="false" ht="35.05" hidden="false" customHeight="false" outlineLevel="0" collapsed="false">
      <c r="A19" s="10" t="s">
        <v>178</v>
      </c>
      <c r="B19" s="11" t="s">
        <v>179</v>
      </c>
      <c r="C19" s="10" t="s">
        <v>180</v>
      </c>
      <c r="D19" s="10" t="s">
        <v>97</v>
      </c>
      <c r="E19" s="12" t="s">
        <v>51</v>
      </c>
      <c r="F19" s="10" t="s">
        <v>52</v>
      </c>
      <c r="G19" s="13" t="s">
        <v>181</v>
      </c>
      <c r="H19" s="10" t="s">
        <v>182</v>
      </c>
      <c r="I19" s="10" t="n">
        <v>2026</v>
      </c>
      <c r="J19" s="10" t="s">
        <v>82</v>
      </c>
      <c r="K19" s="10" t="s">
        <v>183</v>
      </c>
      <c r="L19" s="10" t="s">
        <v>184</v>
      </c>
      <c r="M19" s="10" t="s">
        <v>102</v>
      </c>
      <c r="N19" s="14" t="e">
        <f aca="false">INDEX(Settings!$B$4:$B$10,MATCH(M19,Settings!$A$4:$A$10,0))</f>
        <v>#N/A</v>
      </c>
      <c r="O19" s="15" t="n">
        <f aca="false">IF(E19="A",IF(I19&gt;=2022,Settings!$B$13,Settings!$B$14),IF(E19="B",Settings!$B$15,Settings!$B$16))+IF(F19="S",Settings!$B$17,0)</f>
        <v>0.25</v>
      </c>
      <c r="P19" s="14" t="e">
        <f aca="false">N19*O19</f>
        <v>#N/A</v>
      </c>
      <c r="Q19" s="16" t="e">
        <f aca="false">P19*INDEX(Settings!$B$20:$B$22,MATCH(F19,Settings!$A$20:$A$22,0))</f>
        <v>#N/A</v>
      </c>
      <c r="R19" s="10" t="s">
        <v>59</v>
      </c>
      <c r="S19" s="10" t="s">
        <v>60</v>
      </c>
      <c r="T19" s="10"/>
      <c r="U19" s="10" t="s">
        <v>61</v>
      </c>
      <c r="V19" s="10" t="s">
        <v>62</v>
      </c>
    </row>
    <row r="20" customFormat="false" ht="23.85" hidden="false" customHeight="false" outlineLevel="0" collapsed="false">
      <c r="A20" s="10" t="s">
        <v>185</v>
      </c>
      <c r="B20" s="11" t="s">
        <v>186</v>
      </c>
      <c r="C20" s="10" t="s">
        <v>187</v>
      </c>
      <c r="D20" s="10" t="s">
        <v>50</v>
      </c>
      <c r="E20" s="12" t="s">
        <v>51</v>
      </c>
      <c r="F20" s="10" t="s">
        <v>52</v>
      </c>
      <c r="G20" s="13" t="s">
        <v>188</v>
      </c>
      <c r="H20" s="10" t="s">
        <v>189</v>
      </c>
      <c r="I20" s="10" t="n">
        <v>2026</v>
      </c>
      <c r="J20" s="10" t="s">
        <v>55</v>
      </c>
      <c r="K20" s="10" t="s">
        <v>190</v>
      </c>
      <c r="L20" s="10" t="s">
        <v>69</v>
      </c>
      <c r="M20" s="10" t="s">
        <v>170</v>
      </c>
      <c r="N20" s="14" t="e">
        <f aca="false">INDEX(Settings!$B$4:$B$10,MATCH(M20,Settings!$A$4:$A$10,0))</f>
        <v>#N/A</v>
      </c>
      <c r="O20" s="15" t="n">
        <f aca="false">IF(E20="A",IF(I20&gt;=2022,Settings!$B$13,Settings!$B$14),IF(E20="B",Settings!$B$15,Settings!$B$16))+IF(F20="S",Settings!$B$17,0)</f>
        <v>0.25</v>
      </c>
      <c r="P20" s="14" t="e">
        <f aca="false">N20*O20</f>
        <v>#N/A</v>
      </c>
      <c r="Q20" s="16" t="e">
        <f aca="false">P20*INDEX(Settings!$B$20:$B$22,MATCH(F20,Settings!$A$20:$A$22,0))</f>
        <v>#N/A</v>
      </c>
      <c r="R20" s="10" t="s">
        <v>59</v>
      </c>
      <c r="S20" s="10" t="s">
        <v>60</v>
      </c>
      <c r="T20" s="10"/>
      <c r="U20" s="10" t="s">
        <v>61</v>
      </c>
      <c r="V20" s="10" t="s">
        <v>62</v>
      </c>
    </row>
    <row r="21" customFormat="false" ht="23.85" hidden="false" customHeight="false" outlineLevel="0" collapsed="false">
      <c r="A21" s="10" t="s">
        <v>191</v>
      </c>
      <c r="B21" s="11" t="s">
        <v>192</v>
      </c>
      <c r="C21" s="10" t="s">
        <v>193</v>
      </c>
      <c r="D21" s="10" t="s">
        <v>50</v>
      </c>
      <c r="E21" s="12" t="s">
        <v>51</v>
      </c>
      <c r="F21" s="10" t="s">
        <v>52</v>
      </c>
      <c r="G21" s="13" t="s">
        <v>194</v>
      </c>
      <c r="H21" s="10" t="s">
        <v>195</v>
      </c>
      <c r="I21" s="10" t="n">
        <v>2026</v>
      </c>
      <c r="J21" s="10" t="s">
        <v>55</v>
      </c>
      <c r="K21" s="10" t="s">
        <v>196</v>
      </c>
      <c r="L21" s="10" t="s">
        <v>69</v>
      </c>
      <c r="M21" s="10" t="s">
        <v>170</v>
      </c>
      <c r="N21" s="14" t="e">
        <f aca="false">INDEX(Settings!$B$4:$B$10,MATCH(M21,Settings!$A$4:$A$10,0))</f>
        <v>#N/A</v>
      </c>
      <c r="O21" s="15" t="n">
        <f aca="false">IF(E21="A",IF(I21&gt;=2022,Settings!$B$13,Settings!$B$14),IF(E21="B",Settings!$B$15,Settings!$B$16))+IF(F21="S",Settings!$B$17,0)</f>
        <v>0.25</v>
      </c>
      <c r="P21" s="14" t="e">
        <f aca="false">N21*O21</f>
        <v>#N/A</v>
      </c>
      <c r="Q21" s="16" t="e">
        <f aca="false">P21*INDEX(Settings!$B$20:$B$22,MATCH(F21,Settings!$A$20:$A$22,0))</f>
        <v>#N/A</v>
      </c>
      <c r="R21" s="10" t="s">
        <v>59</v>
      </c>
      <c r="S21" s="10" t="s">
        <v>60</v>
      </c>
      <c r="T21" s="10"/>
      <c r="U21" s="10" t="s">
        <v>61</v>
      </c>
      <c r="V21" s="10" t="s">
        <v>62</v>
      </c>
    </row>
    <row r="22" customFormat="false" ht="35.05" hidden="false" customHeight="false" outlineLevel="0" collapsed="false">
      <c r="A22" s="10" t="s">
        <v>197</v>
      </c>
      <c r="B22" s="11" t="s">
        <v>198</v>
      </c>
      <c r="C22" s="10" t="s">
        <v>199</v>
      </c>
      <c r="D22" s="10" t="s">
        <v>14</v>
      </c>
      <c r="E22" s="12" t="s">
        <v>51</v>
      </c>
      <c r="F22" s="10" t="s">
        <v>200</v>
      </c>
      <c r="G22" s="13" t="s">
        <v>201</v>
      </c>
      <c r="H22" s="10" t="s">
        <v>202</v>
      </c>
      <c r="I22" s="10" t="n">
        <v>2026</v>
      </c>
      <c r="J22" s="10" t="s">
        <v>203</v>
      </c>
      <c r="K22" s="10" t="s">
        <v>204</v>
      </c>
      <c r="L22" s="10" t="s">
        <v>205</v>
      </c>
      <c r="M22" s="10" t="s">
        <v>206</v>
      </c>
      <c r="N22" s="14" t="n">
        <f aca="false">INDEX(Settings!$B$4:$B$10,MATCH(M22,Settings!$A$4:$A$10,0))</f>
        <v>4800</v>
      </c>
      <c r="O22" s="15" t="n">
        <f aca="false">IF(E22="A",IF(I22&gt;=2022,Settings!$B$13,Settings!$B$14),IF(E22="B",Settings!$B$15,Settings!$B$16))+IF(F22="S",Settings!$B$17,0)</f>
        <v>0.25</v>
      </c>
      <c r="P22" s="14" t="n">
        <f aca="false">N22*O22</f>
        <v>1200</v>
      </c>
      <c r="Q22" s="16" t="n">
        <f aca="false">P22*INDEX(Settings!$B$20:$B$22,MATCH(F22,Settings!$A$20:$A$22,0))</f>
        <v>1200</v>
      </c>
      <c r="R22" s="10" t="s">
        <v>20</v>
      </c>
      <c r="S22" s="10" t="s">
        <v>207</v>
      </c>
      <c r="T22" s="10" t="s">
        <v>208</v>
      </c>
      <c r="U22" s="10" t="s">
        <v>61</v>
      </c>
      <c r="V22" s="10" t="s">
        <v>62</v>
      </c>
    </row>
    <row r="23" customFormat="false" ht="35.05" hidden="false" customHeight="false" outlineLevel="0" collapsed="false">
      <c r="A23" s="10" t="s">
        <v>209</v>
      </c>
      <c r="B23" s="11" t="s">
        <v>210</v>
      </c>
      <c r="C23" s="10" t="s">
        <v>199</v>
      </c>
      <c r="D23" s="10" t="s">
        <v>13</v>
      </c>
      <c r="E23" s="12" t="s">
        <v>51</v>
      </c>
      <c r="F23" s="10" t="s">
        <v>200</v>
      </c>
      <c r="G23" s="13" t="s">
        <v>211</v>
      </c>
      <c r="H23" s="10" t="s">
        <v>212</v>
      </c>
      <c r="I23" s="10" t="n">
        <v>2024</v>
      </c>
      <c r="J23" s="10" t="s">
        <v>203</v>
      </c>
      <c r="K23" s="10" t="s">
        <v>204</v>
      </c>
      <c r="L23" s="10" t="s">
        <v>213</v>
      </c>
      <c r="M23" s="10" t="s">
        <v>206</v>
      </c>
      <c r="N23" s="14" t="n">
        <f aca="false">INDEX(Settings!$B$4:$B$10,MATCH(M23,Settings!$A$4:$A$10,0))</f>
        <v>4800</v>
      </c>
      <c r="O23" s="15" t="n">
        <f aca="false">IF(E23="A",IF(I23&gt;=2022,Settings!$B$13,Settings!$B$14),IF(E23="B",Settings!$B$15,Settings!$B$16))+IF(F23="S",Settings!$B$17,0)</f>
        <v>0.25</v>
      </c>
      <c r="P23" s="14" t="n">
        <f aca="false">N23*O23</f>
        <v>1200</v>
      </c>
      <c r="Q23" s="16" t="n">
        <f aca="false">P23*INDEX(Settings!$B$20:$B$22,MATCH(F23,Settings!$A$20:$A$22,0))</f>
        <v>1200</v>
      </c>
      <c r="R23" s="10" t="s">
        <v>20</v>
      </c>
      <c r="S23" s="10" t="s">
        <v>207</v>
      </c>
      <c r="T23" s="10" t="s">
        <v>208</v>
      </c>
      <c r="U23" s="10" t="s">
        <v>61</v>
      </c>
      <c r="V23" s="10" t="s">
        <v>62</v>
      </c>
    </row>
    <row r="24" customFormat="false" ht="35.05" hidden="false" customHeight="false" outlineLevel="0" collapsed="false">
      <c r="A24" s="10" t="s">
        <v>214</v>
      </c>
      <c r="B24" s="11" t="s">
        <v>215</v>
      </c>
      <c r="C24" s="10" t="s">
        <v>216</v>
      </c>
      <c r="D24" s="10" t="s">
        <v>13</v>
      </c>
      <c r="E24" s="12" t="s">
        <v>51</v>
      </c>
      <c r="F24" s="10" t="s">
        <v>217</v>
      </c>
      <c r="G24" s="13" t="s">
        <v>218</v>
      </c>
      <c r="H24" s="10" t="s">
        <v>219</v>
      </c>
      <c r="I24" s="10" t="n">
        <v>2023</v>
      </c>
      <c r="J24" s="10" t="s">
        <v>203</v>
      </c>
      <c r="K24" s="10" t="s">
        <v>220</v>
      </c>
      <c r="L24" s="10" t="s">
        <v>221</v>
      </c>
      <c r="M24" s="10" t="s">
        <v>222</v>
      </c>
      <c r="N24" s="14" t="n">
        <f aca="false">INDEX(Settings!$B$4:$B$10,MATCH(M24,Settings!$A$4:$A$10,0))</f>
        <v>1800</v>
      </c>
      <c r="O24" s="15" t="n">
        <f aca="false">IF(E24="A",IF(I24&gt;=2022,Settings!$B$13,Settings!$B$14),IF(E24="B",Settings!$B$15,Settings!$B$16))+IF(F24="S",Settings!$B$17,0)</f>
        <v>0.3</v>
      </c>
      <c r="P24" s="14" t="n">
        <f aca="false">N24*O24</f>
        <v>540</v>
      </c>
      <c r="Q24" s="16" t="n">
        <f aca="false">P24*INDEX(Settings!$B$20:$B$22,MATCH(F24,Settings!$A$20:$A$22,0))</f>
        <v>810</v>
      </c>
      <c r="R24" s="10" t="s">
        <v>20</v>
      </c>
      <c r="S24" s="10" t="s">
        <v>207</v>
      </c>
      <c r="T24" s="10" t="s">
        <v>208</v>
      </c>
      <c r="U24" s="10" t="s">
        <v>61</v>
      </c>
      <c r="V24" s="10" t="s">
        <v>62</v>
      </c>
    </row>
    <row r="25" customFormat="false" ht="35.05" hidden="false" customHeight="false" outlineLevel="0" collapsed="false">
      <c r="A25" s="10" t="s">
        <v>223</v>
      </c>
      <c r="B25" s="11" t="s">
        <v>224</v>
      </c>
      <c r="C25" s="10" t="s">
        <v>225</v>
      </c>
      <c r="D25" s="10" t="s">
        <v>15</v>
      </c>
      <c r="E25" s="12" t="s">
        <v>51</v>
      </c>
      <c r="F25" s="10" t="s">
        <v>217</v>
      </c>
      <c r="G25" s="13" t="s">
        <v>226</v>
      </c>
      <c r="H25" s="10" t="s">
        <v>227</v>
      </c>
      <c r="I25" s="10" t="n">
        <v>2026</v>
      </c>
      <c r="J25" s="10" t="s">
        <v>203</v>
      </c>
      <c r="K25" s="10" t="s">
        <v>228</v>
      </c>
      <c r="L25" s="10" t="s">
        <v>221</v>
      </c>
      <c r="M25" s="10" t="s">
        <v>222</v>
      </c>
      <c r="N25" s="14" t="n">
        <f aca="false">INDEX(Settings!$B$4:$B$10,MATCH(M25,Settings!$A$4:$A$10,0))</f>
        <v>1800</v>
      </c>
      <c r="O25" s="15" t="n">
        <f aca="false">IF(E25="A",IF(I25&gt;=2022,Settings!$B$13,Settings!$B$14),IF(E25="B",Settings!$B$15,Settings!$B$16))+IF(F25="S",Settings!$B$17,0)</f>
        <v>0.3</v>
      </c>
      <c r="P25" s="14" t="n">
        <f aca="false">N25*O25</f>
        <v>540</v>
      </c>
      <c r="Q25" s="16" t="n">
        <f aca="false">P25*INDEX(Settings!$B$20:$B$22,MATCH(F25,Settings!$A$20:$A$22,0))</f>
        <v>810</v>
      </c>
      <c r="R25" s="10" t="s">
        <v>20</v>
      </c>
      <c r="S25" s="10" t="s">
        <v>207</v>
      </c>
      <c r="T25" s="10" t="s">
        <v>208</v>
      </c>
      <c r="U25" s="10" t="s">
        <v>61</v>
      </c>
      <c r="V25" s="10" t="s">
        <v>62</v>
      </c>
    </row>
    <row r="26" customFormat="false" ht="35.05" hidden="false" customHeight="false" outlineLevel="0" collapsed="false">
      <c r="A26" s="10" t="s">
        <v>229</v>
      </c>
      <c r="B26" s="11" t="s">
        <v>230</v>
      </c>
      <c r="C26" s="10" t="s">
        <v>231</v>
      </c>
      <c r="D26" s="10" t="s">
        <v>13</v>
      </c>
      <c r="E26" s="12" t="s">
        <v>51</v>
      </c>
      <c r="F26" s="10" t="s">
        <v>217</v>
      </c>
      <c r="G26" s="13" t="s">
        <v>211</v>
      </c>
      <c r="H26" s="10" t="s">
        <v>232</v>
      </c>
      <c r="I26" s="10" t="n">
        <v>2024</v>
      </c>
      <c r="J26" s="10" t="s">
        <v>203</v>
      </c>
      <c r="K26" s="10" t="s">
        <v>228</v>
      </c>
      <c r="L26" s="10" t="s">
        <v>221</v>
      </c>
      <c r="M26" s="10" t="s">
        <v>222</v>
      </c>
      <c r="N26" s="14" t="n">
        <f aca="false">INDEX(Settings!$B$4:$B$10,MATCH(M26,Settings!$A$4:$A$10,0))</f>
        <v>1800</v>
      </c>
      <c r="O26" s="15" t="n">
        <f aca="false">IF(E26="A",IF(I26&gt;=2022,Settings!$B$13,Settings!$B$14),IF(E26="B",Settings!$B$15,Settings!$B$16))+IF(F26="S",Settings!$B$17,0)</f>
        <v>0.3</v>
      </c>
      <c r="P26" s="14" t="n">
        <f aca="false">N26*O26</f>
        <v>540</v>
      </c>
      <c r="Q26" s="16" t="n">
        <f aca="false">P26*INDEX(Settings!$B$20:$B$22,MATCH(F26,Settings!$A$20:$A$22,0))</f>
        <v>810</v>
      </c>
      <c r="R26" s="10" t="s">
        <v>20</v>
      </c>
      <c r="S26" s="10" t="s">
        <v>207</v>
      </c>
      <c r="T26" s="10" t="s">
        <v>208</v>
      </c>
      <c r="U26" s="10" t="s">
        <v>61</v>
      </c>
      <c r="V26" s="10" t="s">
        <v>62</v>
      </c>
    </row>
    <row r="27" customFormat="false" ht="35.05" hidden="false" customHeight="false" outlineLevel="0" collapsed="false">
      <c r="A27" s="10" t="s">
        <v>233</v>
      </c>
      <c r="B27" s="11" t="s">
        <v>234</v>
      </c>
      <c r="C27" s="10" t="s">
        <v>235</v>
      </c>
      <c r="D27" s="10" t="s">
        <v>236</v>
      </c>
      <c r="E27" s="12" t="s">
        <v>51</v>
      </c>
      <c r="F27" s="10" t="s">
        <v>217</v>
      </c>
      <c r="G27" s="13" t="s">
        <v>237</v>
      </c>
      <c r="H27" s="10" t="s">
        <v>238</v>
      </c>
      <c r="I27" s="10" t="n">
        <v>2022</v>
      </c>
      <c r="J27" s="10" t="s">
        <v>203</v>
      </c>
      <c r="K27" s="10" t="s">
        <v>228</v>
      </c>
      <c r="L27" s="10" t="s">
        <v>221</v>
      </c>
      <c r="M27" s="10" t="s">
        <v>222</v>
      </c>
      <c r="N27" s="14" t="n">
        <f aca="false">INDEX(Settings!$B$4:$B$10,MATCH(M27,Settings!$A$4:$A$10,0))</f>
        <v>1800</v>
      </c>
      <c r="O27" s="15" t="n">
        <f aca="false">IF(E27="A",IF(I27&gt;=2022,Settings!$B$13,Settings!$B$14),IF(E27="B",Settings!$B$15,Settings!$B$16))+IF(F27="S",Settings!$B$17,0)</f>
        <v>0.3</v>
      </c>
      <c r="P27" s="14" t="n">
        <f aca="false">N27*O27</f>
        <v>540</v>
      </c>
      <c r="Q27" s="16" t="n">
        <f aca="false">P27*INDEX(Settings!$B$20:$B$22,MATCH(F27,Settings!$A$20:$A$22,0))</f>
        <v>810</v>
      </c>
      <c r="R27" s="10" t="s">
        <v>20</v>
      </c>
      <c r="S27" s="10" t="s">
        <v>207</v>
      </c>
      <c r="T27" s="10" t="s">
        <v>208</v>
      </c>
      <c r="U27" s="10" t="s">
        <v>61</v>
      </c>
      <c r="V27" s="10" t="s">
        <v>62</v>
      </c>
    </row>
    <row r="28" customFormat="false" ht="35.05" hidden="false" customHeight="false" outlineLevel="0" collapsed="false">
      <c r="A28" s="10" t="s">
        <v>239</v>
      </c>
      <c r="B28" s="11" t="s">
        <v>240</v>
      </c>
      <c r="C28" s="10" t="s">
        <v>241</v>
      </c>
      <c r="D28" s="10" t="s">
        <v>13</v>
      </c>
      <c r="E28" s="12" t="s">
        <v>51</v>
      </c>
      <c r="F28" s="10" t="s">
        <v>217</v>
      </c>
      <c r="G28" s="13" t="s">
        <v>218</v>
      </c>
      <c r="H28" s="10" t="s">
        <v>242</v>
      </c>
      <c r="I28" s="10" t="n">
        <v>2023</v>
      </c>
      <c r="J28" s="10" t="s">
        <v>203</v>
      </c>
      <c r="K28" s="10" t="s">
        <v>228</v>
      </c>
      <c r="L28" s="10" t="s">
        <v>221</v>
      </c>
      <c r="M28" s="10" t="s">
        <v>222</v>
      </c>
      <c r="N28" s="14" t="n">
        <f aca="false">INDEX(Settings!$B$4:$B$10,MATCH(M28,Settings!$A$4:$A$10,0))</f>
        <v>1800</v>
      </c>
      <c r="O28" s="15" t="n">
        <f aca="false">IF(E28="A",IF(I28&gt;=2022,Settings!$B$13,Settings!$B$14),IF(E28="B",Settings!$B$15,Settings!$B$16))+IF(F28="S",Settings!$B$17,0)</f>
        <v>0.3</v>
      </c>
      <c r="P28" s="14" t="n">
        <f aca="false">N28*O28</f>
        <v>540</v>
      </c>
      <c r="Q28" s="16" t="n">
        <f aca="false">P28*INDEX(Settings!$B$20:$B$22,MATCH(F28,Settings!$A$20:$A$22,0))</f>
        <v>810</v>
      </c>
      <c r="R28" s="10" t="s">
        <v>20</v>
      </c>
      <c r="S28" s="10" t="s">
        <v>207</v>
      </c>
      <c r="T28" s="10" t="s">
        <v>208</v>
      </c>
      <c r="U28" s="10" t="s">
        <v>61</v>
      </c>
      <c r="V28" s="10" t="s">
        <v>62</v>
      </c>
    </row>
    <row r="29" customFormat="false" ht="35.05" hidden="false" customHeight="false" outlineLevel="0" collapsed="false">
      <c r="A29" s="10" t="s">
        <v>243</v>
      </c>
      <c r="B29" s="11" t="s">
        <v>244</v>
      </c>
      <c r="C29" s="10" t="s">
        <v>199</v>
      </c>
      <c r="D29" s="10" t="s">
        <v>245</v>
      </c>
      <c r="E29" s="12" t="s">
        <v>51</v>
      </c>
      <c r="F29" s="10" t="s">
        <v>52</v>
      </c>
      <c r="G29" s="13" t="s">
        <v>246</v>
      </c>
      <c r="H29" s="10" t="s">
        <v>247</v>
      </c>
      <c r="I29" s="10" t="n">
        <v>2026</v>
      </c>
      <c r="J29" s="10" t="s">
        <v>203</v>
      </c>
      <c r="K29" s="10" t="s">
        <v>204</v>
      </c>
      <c r="L29" s="10" t="s">
        <v>248</v>
      </c>
      <c r="M29" s="10" t="s">
        <v>206</v>
      </c>
      <c r="N29" s="14" t="n">
        <f aca="false">INDEX(Settings!$B$4:$B$10,MATCH(M29,Settings!$A$4:$A$10,0))</f>
        <v>4800</v>
      </c>
      <c r="O29" s="15" t="n">
        <f aca="false">IF(E29="A",IF(I29&gt;=2022,Settings!$B$13,Settings!$B$14),IF(E29="B",Settings!$B$15,Settings!$B$16))+IF(F29="S",Settings!$B$17,0)</f>
        <v>0.25</v>
      </c>
      <c r="P29" s="14" t="n">
        <f aca="false">N29*O29</f>
        <v>1200</v>
      </c>
      <c r="Q29" s="16" t="n">
        <f aca="false">P29*INDEX(Settings!$B$20:$B$22,MATCH(F29,Settings!$A$20:$A$22,0))</f>
        <v>720</v>
      </c>
      <c r="R29" s="10" t="s">
        <v>20</v>
      </c>
      <c r="S29" s="10" t="s">
        <v>207</v>
      </c>
      <c r="T29" s="10" t="s">
        <v>208</v>
      </c>
      <c r="U29" s="10" t="s">
        <v>61</v>
      </c>
      <c r="V29" s="10" t="s">
        <v>62</v>
      </c>
    </row>
    <row r="30" customFormat="false" ht="35.05" hidden="false" customHeight="false" outlineLevel="0" collapsed="false">
      <c r="A30" s="10" t="s">
        <v>249</v>
      </c>
      <c r="B30" s="11" t="s">
        <v>250</v>
      </c>
      <c r="C30" s="10" t="s">
        <v>251</v>
      </c>
      <c r="D30" s="10" t="s">
        <v>15</v>
      </c>
      <c r="E30" s="17" t="s">
        <v>252</v>
      </c>
      <c r="F30" s="10" t="s">
        <v>200</v>
      </c>
      <c r="G30" s="13" t="s">
        <v>253</v>
      </c>
      <c r="H30" s="10" t="s">
        <v>254</v>
      </c>
      <c r="I30" s="10" t="n">
        <v>2026</v>
      </c>
      <c r="J30" s="10" t="s">
        <v>255</v>
      </c>
      <c r="K30" s="10" t="s">
        <v>256</v>
      </c>
      <c r="L30" s="10" t="s">
        <v>257</v>
      </c>
      <c r="M30" s="10" t="s">
        <v>206</v>
      </c>
      <c r="N30" s="14" t="n">
        <f aca="false">INDEX(Settings!$B$4:$B$10,MATCH(M30,Settings!$A$4:$A$10,0))</f>
        <v>4800</v>
      </c>
      <c r="O30" s="15" t="n">
        <f aca="false">IF(E30="A",IF(I30&gt;=2022,Settings!$B$13,Settings!$B$14),IF(E30="B",Settings!$B$15,Settings!$B$16))+IF(F30="S",Settings!$B$17,0)</f>
        <v>0.12</v>
      </c>
      <c r="P30" s="14" t="n">
        <f aca="false">N30*O30</f>
        <v>576</v>
      </c>
      <c r="Q30" s="16" t="n">
        <f aca="false">P30*INDEX(Settings!$B$20:$B$22,MATCH(F30,Settings!$A$20:$A$22,0))</f>
        <v>576</v>
      </c>
      <c r="R30" s="10" t="s">
        <v>20</v>
      </c>
      <c r="S30" s="10" t="s">
        <v>207</v>
      </c>
      <c r="T30" s="10" t="s">
        <v>258</v>
      </c>
      <c r="U30" s="10" t="s">
        <v>61</v>
      </c>
      <c r="V30" s="10" t="s">
        <v>62</v>
      </c>
    </row>
    <row r="31" customFormat="false" ht="35.05" hidden="false" customHeight="false" outlineLevel="0" collapsed="false">
      <c r="A31" s="10" t="s">
        <v>259</v>
      </c>
      <c r="B31" s="11" t="s">
        <v>260</v>
      </c>
      <c r="C31" s="10" t="s">
        <v>261</v>
      </c>
      <c r="D31" s="10" t="s">
        <v>13</v>
      </c>
      <c r="E31" s="12" t="s">
        <v>51</v>
      </c>
      <c r="F31" s="10" t="s">
        <v>217</v>
      </c>
      <c r="G31" s="13" t="s">
        <v>262</v>
      </c>
      <c r="H31" s="10" t="s">
        <v>263</v>
      </c>
      <c r="I31" s="10" t="n">
        <v>2018</v>
      </c>
      <c r="J31" s="10" t="s">
        <v>203</v>
      </c>
      <c r="K31" s="10" t="s">
        <v>264</v>
      </c>
      <c r="L31" s="10" t="s">
        <v>221</v>
      </c>
      <c r="M31" s="10" t="s">
        <v>222</v>
      </c>
      <c r="N31" s="14" t="n">
        <f aca="false">INDEX(Settings!$B$4:$B$10,MATCH(M31,Settings!$A$4:$A$10,0))</f>
        <v>1800</v>
      </c>
      <c r="O31" s="15" t="n">
        <f aca="false">IF(E31="A",IF(I31&gt;=2022,Settings!$B$13,Settings!$B$14),IF(E31="B",Settings!$B$15,Settings!$B$16))+IF(F31="S",Settings!$B$17,0)</f>
        <v>0.2</v>
      </c>
      <c r="P31" s="14" t="n">
        <f aca="false">N31*O31</f>
        <v>360</v>
      </c>
      <c r="Q31" s="16" t="n">
        <f aca="false">P31*INDEX(Settings!$B$20:$B$22,MATCH(F31,Settings!$A$20:$A$22,0))</f>
        <v>540</v>
      </c>
      <c r="R31" s="10" t="s">
        <v>20</v>
      </c>
      <c r="S31" s="10" t="s">
        <v>207</v>
      </c>
      <c r="T31" s="10" t="s">
        <v>258</v>
      </c>
      <c r="U31" s="10" t="s">
        <v>61</v>
      </c>
      <c r="V31" s="10" t="s">
        <v>62</v>
      </c>
    </row>
    <row r="32" customFormat="false" ht="35.05" hidden="false" customHeight="false" outlineLevel="0" collapsed="false">
      <c r="A32" s="10" t="s">
        <v>265</v>
      </c>
      <c r="B32" s="11" t="s">
        <v>266</v>
      </c>
      <c r="C32" s="10" t="s">
        <v>241</v>
      </c>
      <c r="D32" s="10" t="s">
        <v>13</v>
      </c>
      <c r="E32" s="12" t="s">
        <v>51</v>
      </c>
      <c r="F32" s="10" t="s">
        <v>217</v>
      </c>
      <c r="G32" s="13" t="s">
        <v>267</v>
      </c>
      <c r="H32" s="10" t="s">
        <v>268</v>
      </c>
      <c r="I32" s="10" t="n">
        <v>2015</v>
      </c>
      <c r="J32" s="10" t="s">
        <v>203</v>
      </c>
      <c r="K32" s="10" t="s">
        <v>228</v>
      </c>
      <c r="L32" s="10" t="s">
        <v>221</v>
      </c>
      <c r="M32" s="10" t="s">
        <v>222</v>
      </c>
      <c r="N32" s="14" t="n">
        <f aca="false">INDEX(Settings!$B$4:$B$10,MATCH(M32,Settings!$A$4:$A$10,0))</f>
        <v>1800</v>
      </c>
      <c r="O32" s="15" t="n">
        <f aca="false">IF(E32="A",IF(I32&gt;=2022,Settings!$B$13,Settings!$B$14),IF(E32="B",Settings!$B$15,Settings!$B$16))+IF(F32="S",Settings!$B$17,0)</f>
        <v>0.2</v>
      </c>
      <c r="P32" s="14" t="n">
        <f aca="false">N32*O32</f>
        <v>360</v>
      </c>
      <c r="Q32" s="16" t="n">
        <f aca="false">P32*INDEX(Settings!$B$20:$B$22,MATCH(F32,Settings!$A$20:$A$22,0))</f>
        <v>540</v>
      </c>
      <c r="R32" s="10" t="s">
        <v>20</v>
      </c>
      <c r="S32" s="10" t="s">
        <v>207</v>
      </c>
      <c r="T32" s="10" t="s">
        <v>258</v>
      </c>
      <c r="U32" s="10" t="s">
        <v>61</v>
      </c>
      <c r="V32" s="10" t="s">
        <v>62</v>
      </c>
    </row>
    <row r="33" customFormat="false" ht="35.05" hidden="false" customHeight="false" outlineLevel="0" collapsed="false">
      <c r="A33" s="10" t="s">
        <v>269</v>
      </c>
      <c r="B33" s="11" t="s">
        <v>270</v>
      </c>
      <c r="C33" s="10" t="s">
        <v>271</v>
      </c>
      <c r="D33" s="10" t="s">
        <v>272</v>
      </c>
      <c r="E33" s="17" t="s">
        <v>252</v>
      </c>
      <c r="F33" s="10" t="s">
        <v>217</v>
      </c>
      <c r="G33" s="13" t="s">
        <v>273</v>
      </c>
      <c r="H33" s="10" t="s">
        <v>274</v>
      </c>
      <c r="I33" s="10" t="n">
        <v>2026</v>
      </c>
      <c r="J33" s="10" t="s">
        <v>255</v>
      </c>
      <c r="K33" s="10" t="s">
        <v>228</v>
      </c>
      <c r="L33" s="10" t="s">
        <v>221</v>
      </c>
      <c r="M33" s="10" t="s">
        <v>222</v>
      </c>
      <c r="N33" s="14" t="n">
        <f aca="false">INDEX(Settings!$B$4:$B$10,MATCH(M33,Settings!$A$4:$A$10,0))</f>
        <v>1800</v>
      </c>
      <c r="O33" s="15" t="n">
        <f aca="false">IF(E33="A",IF(I33&gt;=2022,Settings!$B$13,Settings!$B$14),IF(E33="B",Settings!$B$15,Settings!$B$16))+IF(F33="S",Settings!$B$17,0)</f>
        <v>0.17</v>
      </c>
      <c r="P33" s="14" t="n">
        <f aca="false">N33*O33</f>
        <v>306</v>
      </c>
      <c r="Q33" s="16" t="n">
        <f aca="false">P33*INDEX(Settings!$B$20:$B$22,MATCH(F33,Settings!$A$20:$A$22,0))</f>
        <v>459</v>
      </c>
      <c r="R33" s="10" t="s">
        <v>20</v>
      </c>
      <c r="S33" s="10" t="s">
        <v>207</v>
      </c>
      <c r="T33" s="10" t="s">
        <v>258</v>
      </c>
      <c r="U33" s="10" t="s">
        <v>61</v>
      </c>
      <c r="V33" s="10" t="s">
        <v>62</v>
      </c>
    </row>
    <row r="34" customFormat="false" ht="35.05" hidden="false" customHeight="false" outlineLevel="0" collapsed="false">
      <c r="A34" s="10" t="s">
        <v>275</v>
      </c>
      <c r="B34" s="11" t="s">
        <v>276</v>
      </c>
      <c r="C34" s="10" t="s">
        <v>277</v>
      </c>
      <c r="D34" s="10" t="s">
        <v>15</v>
      </c>
      <c r="E34" s="17" t="s">
        <v>252</v>
      </c>
      <c r="F34" s="10" t="s">
        <v>217</v>
      </c>
      <c r="G34" s="13" t="s">
        <v>278</v>
      </c>
      <c r="H34" s="10" t="s">
        <v>279</v>
      </c>
      <c r="I34" s="10" t="n">
        <v>2026</v>
      </c>
      <c r="J34" s="10" t="s">
        <v>255</v>
      </c>
      <c r="K34" s="10" t="s">
        <v>256</v>
      </c>
      <c r="L34" s="10" t="s">
        <v>221</v>
      </c>
      <c r="M34" s="10" t="s">
        <v>222</v>
      </c>
      <c r="N34" s="14" t="n">
        <f aca="false">INDEX(Settings!$B$4:$B$10,MATCH(M34,Settings!$A$4:$A$10,0))</f>
        <v>1800</v>
      </c>
      <c r="O34" s="15" t="n">
        <f aca="false">IF(E34="A",IF(I34&gt;=2022,Settings!$B$13,Settings!$B$14),IF(E34="B",Settings!$B$15,Settings!$B$16))+IF(F34="S",Settings!$B$17,0)</f>
        <v>0.17</v>
      </c>
      <c r="P34" s="14" t="n">
        <f aca="false">N34*O34</f>
        <v>306</v>
      </c>
      <c r="Q34" s="16" t="n">
        <f aca="false">P34*INDEX(Settings!$B$20:$B$22,MATCH(F34,Settings!$A$20:$A$22,0))</f>
        <v>459</v>
      </c>
      <c r="R34" s="10" t="s">
        <v>20</v>
      </c>
      <c r="S34" s="10" t="s">
        <v>207</v>
      </c>
      <c r="T34" s="10" t="s">
        <v>258</v>
      </c>
      <c r="U34" s="10" t="s">
        <v>61</v>
      </c>
      <c r="V34" s="10" t="s">
        <v>62</v>
      </c>
    </row>
    <row r="35" customFormat="false" ht="35.05" hidden="false" customHeight="false" outlineLevel="0" collapsed="false">
      <c r="A35" s="10" t="s">
        <v>280</v>
      </c>
      <c r="B35" s="11" t="s">
        <v>281</v>
      </c>
      <c r="C35" s="10" t="s">
        <v>282</v>
      </c>
      <c r="D35" s="10" t="s">
        <v>283</v>
      </c>
      <c r="E35" s="17" t="s">
        <v>252</v>
      </c>
      <c r="F35" s="10" t="s">
        <v>217</v>
      </c>
      <c r="G35" s="13" t="s">
        <v>284</v>
      </c>
      <c r="H35" s="10" t="s">
        <v>285</v>
      </c>
      <c r="I35" s="10" t="n">
        <v>2026</v>
      </c>
      <c r="J35" s="10" t="s">
        <v>255</v>
      </c>
      <c r="K35" s="10" t="s">
        <v>220</v>
      </c>
      <c r="L35" s="10" t="s">
        <v>221</v>
      </c>
      <c r="M35" s="10" t="s">
        <v>222</v>
      </c>
      <c r="N35" s="14" t="n">
        <f aca="false">INDEX(Settings!$B$4:$B$10,MATCH(M35,Settings!$A$4:$A$10,0))</f>
        <v>1800</v>
      </c>
      <c r="O35" s="15" t="n">
        <f aca="false">IF(E35="A",IF(I35&gt;=2022,Settings!$B$13,Settings!$B$14),IF(E35="B",Settings!$B$15,Settings!$B$16))+IF(F35="S",Settings!$B$17,0)</f>
        <v>0.17</v>
      </c>
      <c r="P35" s="14" t="n">
        <f aca="false">N35*O35</f>
        <v>306</v>
      </c>
      <c r="Q35" s="16" t="n">
        <f aca="false">P35*INDEX(Settings!$B$20:$B$22,MATCH(F35,Settings!$A$20:$A$22,0))</f>
        <v>459</v>
      </c>
      <c r="R35" s="10" t="s">
        <v>20</v>
      </c>
      <c r="S35" s="10" t="s">
        <v>207</v>
      </c>
      <c r="T35" s="10" t="s">
        <v>258</v>
      </c>
      <c r="U35" s="10" t="s">
        <v>61</v>
      </c>
      <c r="V35" s="10" t="s">
        <v>62</v>
      </c>
    </row>
    <row r="36" customFormat="false" ht="35.05" hidden="false" customHeight="false" outlineLevel="0" collapsed="false">
      <c r="A36" s="10" t="s">
        <v>286</v>
      </c>
      <c r="B36" s="11" t="s">
        <v>287</v>
      </c>
      <c r="C36" s="10" t="s">
        <v>288</v>
      </c>
      <c r="D36" s="10" t="s">
        <v>15</v>
      </c>
      <c r="E36" s="17" t="s">
        <v>252</v>
      </c>
      <c r="F36" s="10" t="s">
        <v>217</v>
      </c>
      <c r="G36" s="13" t="s">
        <v>289</v>
      </c>
      <c r="H36" s="10" t="s">
        <v>290</v>
      </c>
      <c r="I36" s="10" t="n">
        <v>2024</v>
      </c>
      <c r="J36" s="10" t="s">
        <v>203</v>
      </c>
      <c r="K36" s="10" t="s">
        <v>228</v>
      </c>
      <c r="L36" s="10" t="s">
        <v>221</v>
      </c>
      <c r="M36" s="10" t="s">
        <v>222</v>
      </c>
      <c r="N36" s="14" t="n">
        <f aca="false">INDEX(Settings!$B$4:$B$10,MATCH(M36,Settings!$A$4:$A$10,0))</f>
        <v>1800</v>
      </c>
      <c r="O36" s="15" t="n">
        <f aca="false">IF(E36="A",IF(I36&gt;=2022,Settings!$B$13,Settings!$B$14),IF(E36="B",Settings!$B$15,Settings!$B$16))+IF(F36="S",Settings!$B$17,0)</f>
        <v>0.17</v>
      </c>
      <c r="P36" s="14" t="n">
        <f aca="false">N36*O36</f>
        <v>306</v>
      </c>
      <c r="Q36" s="16" t="n">
        <f aca="false">P36*INDEX(Settings!$B$20:$B$22,MATCH(F36,Settings!$A$20:$A$22,0))</f>
        <v>459</v>
      </c>
      <c r="R36" s="10" t="s">
        <v>20</v>
      </c>
      <c r="S36" s="10" t="s">
        <v>207</v>
      </c>
      <c r="T36" s="10" t="s">
        <v>258</v>
      </c>
      <c r="U36" s="10" t="s">
        <v>61</v>
      </c>
      <c r="V36" s="10" t="s">
        <v>62</v>
      </c>
    </row>
    <row r="37" customFormat="false" ht="35.05" hidden="false" customHeight="false" outlineLevel="0" collapsed="false">
      <c r="A37" s="10" t="s">
        <v>291</v>
      </c>
      <c r="B37" s="11" t="s">
        <v>292</v>
      </c>
      <c r="C37" s="10" t="s">
        <v>293</v>
      </c>
      <c r="D37" s="10" t="s">
        <v>13</v>
      </c>
      <c r="E37" s="17" t="s">
        <v>252</v>
      </c>
      <c r="F37" s="10" t="s">
        <v>217</v>
      </c>
      <c r="G37" s="13" t="s">
        <v>273</v>
      </c>
      <c r="H37" s="10" t="s">
        <v>294</v>
      </c>
      <c r="I37" s="10" t="n">
        <v>2026</v>
      </c>
      <c r="J37" s="10" t="s">
        <v>255</v>
      </c>
      <c r="K37" s="10" t="s">
        <v>264</v>
      </c>
      <c r="L37" s="10" t="s">
        <v>221</v>
      </c>
      <c r="M37" s="10" t="s">
        <v>222</v>
      </c>
      <c r="N37" s="14" t="n">
        <f aca="false">INDEX(Settings!$B$4:$B$10,MATCH(M37,Settings!$A$4:$A$10,0))</f>
        <v>1800</v>
      </c>
      <c r="O37" s="15" t="n">
        <f aca="false">IF(E37="A",IF(I37&gt;=2022,Settings!$B$13,Settings!$B$14),IF(E37="B",Settings!$B$15,Settings!$B$16))+IF(F37="S",Settings!$B$17,0)</f>
        <v>0.17</v>
      </c>
      <c r="P37" s="14" t="n">
        <f aca="false">N37*O37</f>
        <v>306</v>
      </c>
      <c r="Q37" s="16" t="n">
        <f aca="false">P37*INDEX(Settings!$B$20:$B$22,MATCH(F37,Settings!$A$20:$A$22,0))</f>
        <v>459</v>
      </c>
      <c r="R37" s="10" t="s">
        <v>20</v>
      </c>
      <c r="S37" s="10" t="s">
        <v>207</v>
      </c>
      <c r="T37" s="10" t="s">
        <v>258</v>
      </c>
      <c r="U37" s="10" t="s">
        <v>61</v>
      </c>
      <c r="V37" s="10" t="s">
        <v>62</v>
      </c>
    </row>
    <row r="38" customFormat="false" ht="35.05" hidden="false" customHeight="false" outlineLevel="0" collapsed="false">
      <c r="A38" s="10" t="s">
        <v>295</v>
      </c>
      <c r="B38" s="11" t="s">
        <v>296</v>
      </c>
      <c r="C38" s="10" t="s">
        <v>297</v>
      </c>
      <c r="D38" s="10" t="s">
        <v>15</v>
      </c>
      <c r="E38" s="17" t="s">
        <v>252</v>
      </c>
      <c r="F38" s="10" t="s">
        <v>217</v>
      </c>
      <c r="G38" s="13" t="s">
        <v>298</v>
      </c>
      <c r="H38" s="10" t="s">
        <v>299</v>
      </c>
      <c r="I38" s="10" t="n">
        <v>2026</v>
      </c>
      <c r="J38" s="10" t="s">
        <v>255</v>
      </c>
      <c r="K38" s="10" t="s">
        <v>228</v>
      </c>
      <c r="L38" s="10" t="s">
        <v>221</v>
      </c>
      <c r="M38" s="10" t="s">
        <v>222</v>
      </c>
      <c r="N38" s="14" t="n">
        <f aca="false">INDEX(Settings!$B$4:$B$10,MATCH(M38,Settings!$A$4:$A$10,0))</f>
        <v>1800</v>
      </c>
      <c r="O38" s="15" t="n">
        <f aca="false">IF(E38="A",IF(I38&gt;=2022,Settings!$B$13,Settings!$B$14),IF(E38="B",Settings!$B$15,Settings!$B$16))+IF(F38="S",Settings!$B$17,0)</f>
        <v>0.17</v>
      </c>
      <c r="P38" s="14" t="n">
        <f aca="false">N38*O38</f>
        <v>306</v>
      </c>
      <c r="Q38" s="16" t="n">
        <f aca="false">P38*INDEX(Settings!$B$20:$B$22,MATCH(F38,Settings!$A$20:$A$22,0))</f>
        <v>459</v>
      </c>
      <c r="R38" s="10" t="s">
        <v>20</v>
      </c>
      <c r="S38" s="10" t="s">
        <v>207</v>
      </c>
      <c r="T38" s="10" t="s">
        <v>300</v>
      </c>
      <c r="U38" s="10" t="s">
        <v>61</v>
      </c>
      <c r="V38" s="10" t="s">
        <v>62</v>
      </c>
    </row>
    <row r="39" customFormat="false" ht="35.05" hidden="false" customHeight="false" outlineLevel="0" collapsed="false">
      <c r="A39" s="10" t="s">
        <v>301</v>
      </c>
      <c r="B39" s="11" t="s">
        <v>302</v>
      </c>
      <c r="C39" s="10" t="s">
        <v>303</v>
      </c>
      <c r="D39" s="10" t="s">
        <v>13</v>
      </c>
      <c r="E39" s="17" t="s">
        <v>252</v>
      </c>
      <c r="F39" s="10" t="s">
        <v>217</v>
      </c>
      <c r="G39" s="13" t="s">
        <v>304</v>
      </c>
      <c r="H39" s="10" t="s">
        <v>305</v>
      </c>
      <c r="I39" s="10" t="n">
        <v>2026</v>
      </c>
      <c r="J39" s="10" t="s">
        <v>255</v>
      </c>
      <c r="K39" s="10" t="s">
        <v>228</v>
      </c>
      <c r="L39" s="10" t="s">
        <v>306</v>
      </c>
      <c r="M39" s="10" t="s">
        <v>222</v>
      </c>
      <c r="N39" s="14" t="n">
        <f aca="false">INDEX(Settings!$B$4:$B$10,MATCH(M39,Settings!$A$4:$A$10,0))</f>
        <v>1800</v>
      </c>
      <c r="O39" s="15" t="n">
        <f aca="false">IF(E39="A",IF(I39&gt;=2022,Settings!$B$13,Settings!$B$14),IF(E39="B",Settings!$B$15,Settings!$B$16))+IF(F39="S",Settings!$B$17,0)</f>
        <v>0.17</v>
      </c>
      <c r="P39" s="14" t="n">
        <f aca="false">N39*O39</f>
        <v>306</v>
      </c>
      <c r="Q39" s="16" t="n">
        <f aca="false">P39*INDEX(Settings!$B$20:$B$22,MATCH(F39,Settings!$A$20:$A$22,0))</f>
        <v>459</v>
      </c>
      <c r="R39" s="10" t="s">
        <v>20</v>
      </c>
      <c r="S39" s="10" t="s">
        <v>207</v>
      </c>
      <c r="T39" s="10" t="s">
        <v>300</v>
      </c>
      <c r="U39" s="10" t="s">
        <v>61</v>
      </c>
      <c r="V39" s="10" t="s">
        <v>62</v>
      </c>
    </row>
    <row r="40" customFormat="false" ht="35.05" hidden="false" customHeight="false" outlineLevel="0" collapsed="false">
      <c r="A40" s="10" t="s">
        <v>307</v>
      </c>
      <c r="B40" s="11" t="s">
        <v>308</v>
      </c>
      <c r="C40" s="10" t="s">
        <v>309</v>
      </c>
      <c r="D40" s="10" t="s">
        <v>12</v>
      </c>
      <c r="E40" s="17" t="s">
        <v>252</v>
      </c>
      <c r="F40" s="10" t="s">
        <v>217</v>
      </c>
      <c r="G40" s="13" t="s">
        <v>310</v>
      </c>
      <c r="H40" s="10" t="s">
        <v>311</v>
      </c>
      <c r="I40" s="10" t="n">
        <v>2026</v>
      </c>
      <c r="J40" s="10" t="s">
        <v>203</v>
      </c>
      <c r="K40" s="10" t="s">
        <v>220</v>
      </c>
      <c r="L40" s="10" t="s">
        <v>221</v>
      </c>
      <c r="M40" s="10" t="s">
        <v>222</v>
      </c>
      <c r="N40" s="14" t="n">
        <f aca="false">INDEX(Settings!$B$4:$B$10,MATCH(M40,Settings!$A$4:$A$10,0))</f>
        <v>1800</v>
      </c>
      <c r="O40" s="15" t="n">
        <f aca="false">IF(E40="A",IF(I40&gt;=2022,Settings!$B$13,Settings!$B$14),IF(E40="B",Settings!$B$15,Settings!$B$16))+IF(F40="S",Settings!$B$17,0)</f>
        <v>0.17</v>
      </c>
      <c r="P40" s="14" t="n">
        <f aca="false">N40*O40</f>
        <v>306</v>
      </c>
      <c r="Q40" s="16" t="n">
        <f aca="false">P40*INDEX(Settings!$B$20:$B$22,MATCH(F40,Settings!$A$20:$A$22,0))</f>
        <v>459</v>
      </c>
      <c r="R40" s="10" t="s">
        <v>20</v>
      </c>
      <c r="S40" s="10" t="s">
        <v>207</v>
      </c>
      <c r="T40" s="10" t="s">
        <v>300</v>
      </c>
      <c r="U40" s="10" t="s">
        <v>61</v>
      </c>
      <c r="V40" s="10" t="s">
        <v>62</v>
      </c>
    </row>
    <row r="41" customFormat="false" ht="35.05" hidden="false" customHeight="false" outlineLevel="0" collapsed="false">
      <c r="A41" s="10" t="s">
        <v>312</v>
      </c>
      <c r="B41" s="11" t="s">
        <v>313</v>
      </c>
      <c r="C41" s="10" t="s">
        <v>314</v>
      </c>
      <c r="D41" s="10" t="s">
        <v>15</v>
      </c>
      <c r="E41" s="17" t="s">
        <v>252</v>
      </c>
      <c r="F41" s="10" t="s">
        <v>217</v>
      </c>
      <c r="G41" s="13" t="s">
        <v>315</v>
      </c>
      <c r="H41" s="10" t="s">
        <v>316</v>
      </c>
      <c r="I41" s="10" t="n">
        <v>2026</v>
      </c>
      <c r="J41" s="10" t="s">
        <v>255</v>
      </c>
      <c r="K41" s="10" t="s">
        <v>228</v>
      </c>
      <c r="L41" s="10" t="s">
        <v>221</v>
      </c>
      <c r="M41" s="10" t="s">
        <v>222</v>
      </c>
      <c r="N41" s="14" t="n">
        <f aca="false">INDEX(Settings!$B$4:$B$10,MATCH(M41,Settings!$A$4:$A$10,0))</f>
        <v>1800</v>
      </c>
      <c r="O41" s="15" t="n">
        <f aca="false">IF(E41="A",IF(I41&gt;=2022,Settings!$B$13,Settings!$B$14),IF(E41="B",Settings!$B$15,Settings!$B$16))+IF(F41="S",Settings!$B$17,0)</f>
        <v>0.17</v>
      </c>
      <c r="P41" s="14" t="n">
        <f aca="false">N41*O41</f>
        <v>306</v>
      </c>
      <c r="Q41" s="16" t="n">
        <f aca="false">P41*INDEX(Settings!$B$20:$B$22,MATCH(F41,Settings!$A$20:$A$22,0))</f>
        <v>459</v>
      </c>
      <c r="R41" s="10" t="s">
        <v>20</v>
      </c>
      <c r="S41" s="10" t="s">
        <v>207</v>
      </c>
      <c r="T41" s="10" t="s">
        <v>300</v>
      </c>
      <c r="U41" s="10" t="s">
        <v>61</v>
      </c>
      <c r="V41" s="10" t="s">
        <v>62</v>
      </c>
    </row>
    <row r="42" customFormat="false" ht="35.05" hidden="false" customHeight="false" outlineLevel="0" collapsed="false">
      <c r="A42" s="10" t="s">
        <v>317</v>
      </c>
      <c r="B42" s="11" t="s">
        <v>318</v>
      </c>
      <c r="C42" s="10" t="s">
        <v>319</v>
      </c>
      <c r="D42" s="10" t="s">
        <v>13</v>
      </c>
      <c r="E42" s="17" t="s">
        <v>252</v>
      </c>
      <c r="F42" s="10" t="s">
        <v>217</v>
      </c>
      <c r="G42" s="13" t="s">
        <v>320</v>
      </c>
      <c r="H42" s="10" t="s">
        <v>321</v>
      </c>
      <c r="I42" s="10" t="n">
        <v>2026</v>
      </c>
      <c r="J42" s="10" t="s">
        <v>203</v>
      </c>
      <c r="K42" s="10" t="s">
        <v>228</v>
      </c>
      <c r="L42" s="10" t="s">
        <v>221</v>
      </c>
      <c r="M42" s="10" t="s">
        <v>222</v>
      </c>
      <c r="N42" s="14" t="n">
        <f aca="false">INDEX(Settings!$B$4:$B$10,MATCH(M42,Settings!$A$4:$A$10,0))</f>
        <v>1800</v>
      </c>
      <c r="O42" s="15" t="n">
        <f aca="false">IF(E42="A",IF(I42&gt;=2022,Settings!$B$13,Settings!$B$14),IF(E42="B",Settings!$B$15,Settings!$B$16))+IF(F42="S",Settings!$B$17,0)</f>
        <v>0.17</v>
      </c>
      <c r="P42" s="14" t="n">
        <f aca="false">N42*O42</f>
        <v>306</v>
      </c>
      <c r="Q42" s="16" t="n">
        <f aca="false">P42*INDEX(Settings!$B$20:$B$22,MATCH(F42,Settings!$A$20:$A$22,0))</f>
        <v>459</v>
      </c>
      <c r="R42" s="10" t="s">
        <v>20</v>
      </c>
      <c r="S42" s="10" t="s">
        <v>207</v>
      </c>
      <c r="T42" s="10" t="s">
        <v>300</v>
      </c>
      <c r="U42" s="10" t="s">
        <v>61</v>
      </c>
      <c r="V42" s="10" t="s">
        <v>62</v>
      </c>
    </row>
    <row r="43" customFormat="false" ht="35.05" hidden="false" customHeight="false" outlineLevel="0" collapsed="false">
      <c r="A43" s="10" t="s">
        <v>322</v>
      </c>
      <c r="B43" s="11" t="s">
        <v>323</v>
      </c>
      <c r="C43" s="10" t="s">
        <v>324</v>
      </c>
      <c r="D43" s="10" t="s">
        <v>14</v>
      </c>
      <c r="E43" s="17" t="s">
        <v>252</v>
      </c>
      <c r="F43" s="10" t="s">
        <v>217</v>
      </c>
      <c r="G43" s="13" t="s">
        <v>325</v>
      </c>
      <c r="H43" s="10" t="s">
        <v>326</v>
      </c>
      <c r="I43" s="10" t="n">
        <v>2026</v>
      </c>
      <c r="J43" s="10" t="s">
        <v>203</v>
      </c>
      <c r="K43" s="10" t="s">
        <v>256</v>
      </c>
      <c r="L43" s="10" t="s">
        <v>327</v>
      </c>
      <c r="M43" s="10" t="s">
        <v>222</v>
      </c>
      <c r="N43" s="14" t="n">
        <f aca="false">INDEX(Settings!$B$4:$B$10,MATCH(M43,Settings!$A$4:$A$10,0))</f>
        <v>1800</v>
      </c>
      <c r="O43" s="15" t="n">
        <f aca="false">IF(E43="A",IF(I43&gt;=2022,Settings!$B$13,Settings!$B$14),IF(E43="B",Settings!$B$15,Settings!$B$16))+IF(F43="S",Settings!$B$17,0)</f>
        <v>0.17</v>
      </c>
      <c r="P43" s="14" t="n">
        <f aca="false">N43*O43</f>
        <v>306</v>
      </c>
      <c r="Q43" s="16" t="n">
        <f aca="false">P43*INDEX(Settings!$B$20:$B$22,MATCH(F43,Settings!$A$20:$A$22,0))</f>
        <v>459</v>
      </c>
      <c r="R43" s="10" t="s">
        <v>20</v>
      </c>
      <c r="S43" s="10" t="s">
        <v>207</v>
      </c>
      <c r="T43" s="10" t="s">
        <v>300</v>
      </c>
      <c r="U43" s="10" t="s">
        <v>61</v>
      </c>
      <c r="V43" s="10" t="s">
        <v>62</v>
      </c>
    </row>
    <row r="44" customFormat="false" ht="35.05" hidden="false" customHeight="false" outlineLevel="0" collapsed="false">
      <c r="A44" s="10" t="s">
        <v>328</v>
      </c>
      <c r="B44" s="11" t="s">
        <v>329</v>
      </c>
      <c r="C44" s="10" t="s">
        <v>330</v>
      </c>
      <c r="D44" s="10" t="s">
        <v>15</v>
      </c>
      <c r="E44" s="12" t="s">
        <v>51</v>
      </c>
      <c r="F44" s="10" t="s">
        <v>200</v>
      </c>
      <c r="G44" s="13" t="s">
        <v>331</v>
      </c>
      <c r="H44" s="10" t="s">
        <v>332</v>
      </c>
      <c r="I44" s="10" t="n">
        <v>2026</v>
      </c>
      <c r="J44" s="10" t="s">
        <v>203</v>
      </c>
      <c r="K44" s="10" t="s">
        <v>256</v>
      </c>
      <c r="L44" s="10" t="s">
        <v>333</v>
      </c>
      <c r="M44" s="10" t="s">
        <v>334</v>
      </c>
      <c r="N44" s="14" t="n">
        <f aca="false">INDEX(Settings!$B$4:$B$10,MATCH(M44,Settings!$A$4:$A$10,0))</f>
        <v>1800</v>
      </c>
      <c r="O44" s="15" t="n">
        <f aca="false">IF(E44="A",IF(I44&gt;=2022,Settings!$B$13,Settings!$B$14),IF(E44="B",Settings!$B$15,Settings!$B$16))+IF(F44="S",Settings!$B$17,0)</f>
        <v>0.25</v>
      </c>
      <c r="P44" s="14" t="n">
        <f aca="false">N44*O44</f>
        <v>450</v>
      </c>
      <c r="Q44" s="16" t="n">
        <f aca="false">P44*INDEX(Settings!$B$20:$B$22,MATCH(F44,Settings!$A$20:$A$22,0))</f>
        <v>450</v>
      </c>
      <c r="R44" s="10" t="s">
        <v>20</v>
      </c>
      <c r="S44" s="10" t="s">
        <v>207</v>
      </c>
      <c r="T44" s="10" t="s">
        <v>300</v>
      </c>
      <c r="U44" s="10" t="s">
        <v>61</v>
      </c>
      <c r="V44" s="10" t="s">
        <v>62</v>
      </c>
    </row>
    <row r="45" customFormat="false" ht="35.05" hidden="false" customHeight="false" outlineLevel="0" collapsed="false">
      <c r="A45" s="10" t="s">
        <v>335</v>
      </c>
      <c r="B45" s="11" t="s">
        <v>336</v>
      </c>
      <c r="C45" s="10" t="s">
        <v>199</v>
      </c>
      <c r="D45" s="10" t="s">
        <v>337</v>
      </c>
      <c r="E45" s="12" t="s">
        <v>51</v>
      </c>
      <c r="F45" s="10" t="s">
        <v>52</v>
      </c>
      <c r="G45" s="13" t="s">
        <v>338</v>
      </c>
      <c r="H45" s="10" t="s">
        <v>339</v>
      </c>
      <c r="I45" s="10" t="n">
        <v>2021</v>
      </c>
      <c r="J45" s="10" t="s">
        <v>203</v>
      </c>
      <c r="K45" s="10" t="s">
        <v>204</v>
      </c>
      <c r="L45" s="10" t="s">
        <v>340</v>
      </c>
      <c r="M45" s="10" t="s">
        <v>206</v>
      </c>
      <c r="N45" s="14" t="n">
        <f aca="false">INDEX(Settings!$B$4:$B$10,MATCH(M45,Settings!$A$4:$A$10,0))</f>
        <v>4800</v>
      </c>
      <c r="O45" s="15" t="n">
        <f aca="false">IF(E45="A",IF(I45&gt;=2022,Settings!$B$13,Settings!$B$14),IF(E45="B",Settings!$B$15,Settings!$B$16))+IF(F45="S",Settings!$B$17,0)</f>
        <v>0.15</v>
      </c>
      <c r="P45" s="14" t="n">
        <f aca="false">N45*O45</f>
        <v>720</v>
      </c>
      <c r="Q45" s="16" t="n">
        <f aca="false">P45*INDEX(Settings!$B$20:$B$22,MATCH(F45,Settings!$A$20:$A$22,0))</f>
        <v>432</v>
      </c>
      <c r="R45" s="10" t="s">
        <v>20</v>
      </c>
      <c r="S45" s="10" t="s">
        <v>207</v>
      </c>
      <c r="T45" s="10" t="s">
        <v>300</v>
      </c>
      <c r="U45" s="10" t="s">
        <v>61</v>
      </c>
      <c r="V45" s="10" t="s">
        <v>62</v>
      </c>
    </row>
    <row r="46" customFormat="false" ht="35.05" hidden="false" customHeight="false" outlineLevel="0" collapsed="false">
      <c r="A46" s="10" t="s">
        <v>341</v>
      </c>
      <c r="B46" s="11" t="s">
        <v>342</v>
      </c>
      <c r="C46" s="10" t="s">
        <v>199</v>
      </c>
      <c r="D46" s="10" t="s">
        <v>245</v>
      </c>
      <c r="E46" s="12" t="s">
        <v>51</v>
      </c>
      <c r="F46" s="10" t="s">
        <v>52</v>
      </c>
      <c r="G46" s="13" t="s">
        <v>267</v>
      </c>
      <c r="H46" s="10" t="s">
        <v>343</v>
      </c>
      <c r="I46" s="10" t="n">
        <v>2015</v>
      </c>
      <c r="J46" s="10" t="s">
        <v>203</v>
      </c>
      <c r="K46" s="10" t="s">
        <v>204</v>
      </c>
      <c r="L46" s="10" t="s">
        <v>344</v>
      </c>
      <c r="M46" s="10" t="s">
        <v>206</v>
      </c>
      <c r="N46" s="14" t="n">
        <f aca="false">INDEX(Settings!$B$4:$B$10,MATCH(M46,Settings!$A$4:$A$10,0))</f>
        <v>4800</v>
      </c>
      <c r="O46" s="15" t="n">
        <f aca="false">IF(E46="A",IF(I46&gt;=2022,Settings!$B$13,Settings!$B$14),IF(E46="B",Settings!$B$15,Settings!$B$16))+IF(F46="S",Settings!$B$17,0)</f>
        <v>0.15</v>
      </c>
      <c r="P46" s="14" t="n">
        <f aca="false">N46*O46</f>
        <v>720</v>
      </c>
      <c r="Q46" s="16" t="n">
        <f aca="false">P46*INDEX(Settings!$B$20:$B$22,MATCH(F46,Settings!$A$20:$A$22,0))</f>
        <v>432</v>
      </c>
      <c r="R46" s="10" t="s">
        <v>20</v>
      </c>
      <c r="S46" s="10" t="s">
        <v>207</v>
      </c>
      <c r="T46" s="10" t="s">
        <v>345</v>
      </c>
      <c r="U46" s="10" t="s">
        <v>61</v>
      </c>
      <c r="V46" s="10" t="s">
        <v>62</v>
      </c>
    </row>
    <row r="47" customFormat="false" ht="35.05" hidden="false" customHeight="false" outlineLevel="0" collapsed="false">
      <c r="A47" s="10" t="s">
        <v>346</v>
      </c>
      <c r="B47" s="11" t="s">
        <v>347</v>
      </c>
      <c r="C47" s="10" t="s">
        <v>348</v>
      </c>
      <c r="D47" s="10" t="s">
        <v>13</v>
      </c>
      <c r="E47" s="12" t="s">
        <v>51</v>
      </c>
      <c r="F47" s="10" t="s">
        <v>200</v>
      </c>
      <c r="G47" s="13" t="s">
        <v>211</v>
      </c>
      <c r="H47" s="10" t="s">
        <v>349</v>
      </c>
      <c r="I47" s="10" t="n">
        <v>2024</v>
      </c>
      <c r="J47" s="10" t="s">
        <v>203</v>
      </c>
      <c r="K47" s="10" t="s">
        <v>350</v>
      </c>
      <c r="L47" s="10" t="s">
        <v>351</v>
      </c>
      <c r="M47" s="10" t="s">
        <v>352</v>
      </c>
      <c r="N47" s="14" t="n">
        <f aca="false">INDEX(Settings!$B$4:$B$10,MATCH(M47,Settings!$A$4:$A$10,0))</f>
        <v>1500</v>
      </c>
      <c r="O47" s="15" t="n">
        <f aca="false">IF(E47="A",IF(I47&gt;=2022,Settings!$B$13,Settings!$B$14),IF(E47="B",Settings!$B$15,Settings!$B$16))+IF(F47="S",Settings!$B$17,0)</f>
        <v>0.25</v>
      </c>
      <c r="P47" s="14" t="n">
        <f aca="false">N47*O47</f>
        <v>375</v>
      </c>
      <c r="Q47" s="16" t="n">
        <f aca="false">P47*INDEX(Settings!$B$20:$B$22,MATCH(F47,Settings!$A$20:$A$22,0))</f>
        <v>375</v>
      </c>
      <c r="R47" s="10" t="s">
        <v>20</v>
      </c>
      <c r="S47" s="10" t="s">
        <v>207</v>
      </c>
      <c r="T47" s="10" t="s">
        <v>345</v>
      </c>
      <c r="U47" s="10" t="s">
        <v>61</v>
      </c>
      <c r="V47" s="10" t="s">
        <v>62</v>
      </c>
    </row>
    <row r="48" customFormat="false" ht="35.05" hidden="false" customHeight="false" outlineLevel="0" collapsed="false">
      <c r="A48" s="10" t="s">
        <v>353</v>
      </c>
      <c r="B48" s="11" t="s">
        <v>354</v>
      </c>
      <c r="C48" s="10" t="s">
        <v>355</v>
      </c>
      <c r="D48" s="10" t="s">
        <v>13</v>
      </c>
      <c r="E48" s="12" t="s">
        <v>51</v>
      </c>
      <c r="F48" s="10" t="s">
        <v>200</v>
      </c>
      <c r="G48" s="13" t="s">
        <v>211</v>
      </c>
      <c r="H48" s="10" t="s">
        <v>356</v>
      </c>
      <c r="I48" s="10" t="n">
        <v>2024</v>
      </c>
      <c r="J48" s="10" t="s">
        <v>203</v>
      </c>
      <c r="K48" s="10" t="s">
        <v>350</v>
      </c>
      <c r="L48" s="10" t="s">
        <v>351</v>
      </c>
      <c r="M48" s="10" t="s">
        <v>352</v>
      </c>
      <c r="N48" s="14" t="n">
        <f aca="false">INDEX(Settings!$B$4:$B$10,MATCH(M48,Settings!$A$4:$A$10,0))</f>
        <v>1500</v>
      </c>
      <c r="O48" s="15" t="n">
        <f aca="false">IF(E48="A",IF(I48&gt;=2022,Settings!$B$13,Settings!$B$14),IF(E48="B",Settings!$B$15,Settings!$B$16))+IF(F48="S",Settings!$B$17,0)</f>
        <v>0.25</v>
      </c>
      <c r="P48" s="14" t="n">
        <f aca="false">N48*O48</f>
        <v>375</v>
      </c>
      <c r="Q48" s="16" t="n">
        <f aca="false">P48*INDEX(Settings!$B$20:$B$22,MATCH(F48,Settings!$A$20:$A$22,0))</f>
        <v>375</v>
      </c>
      <c r="R48" s="10" t="s">
        <v>20</v>
      </c>
      <c r="S48" s="10" t="s">
        <v>207</v>
      </c>
      <c r="T48" s="10" t="s">
        <v>345</v>
      </c>
      <c r="U48" s="10" t="s">
        <v>61</v>
      </c>
      <c r="V48" s="10" t="s">
        <v>62</v>
      </c>
    </row>
    <row r="49" customFormat="false" ht="35.05" hidden="false" customHeight="false" outlineLevel="0" collapsed="false">
      <c r="A49" s="10" t="s">
        <v>357</v>
      </c>
      <c r="B49" s="11" t="s">
        <v>358</v>
      </c>
      <c r="C49" s="10" t="s">
        <v>348</v>
      </c>
      <c r="D49" s="10" t="s">
        <v>15</v>
      </c>
      <c r="E49" s="12" t="s">
        <v>51</v>
      </c>
      <c r="F49" s="10" t="s">
        <v>200</v>
      </c>
      <c r="G49" s="13" t="s">
        <v>289</v>
      </c>
      <c r="H49" s="10" t="s">
        <v>359</v>
      </c>
      <c r="I49" s="10" t="n">
        <v>2024</v>
      </c>
      <c r="J49" s="10" t="s">
        <v>203</v>
      </c>
      <c r="K49" s="10" t="s">
        <v>350</v>
      </c>
      <c r="L49" s="10" t="s">
        <v>351</v>
      </c>
      <c r="M49" s="10" t="s">
        <v>352</v>
      </c>
      <c r="N49" s="14" t="n">
        <f aca="false">INDEX(Settings!$B$4:$B$10,MATCH(M49,Settings!$A$4:$A$10,0))</f>
        <v>1500</v>
      </c>
      <c r="O49" s="15" t="n">
        <f aca="false">IF(E49="A",IF(I49&gt;=2022,Settings!$B$13,Settings!$B$14),IF(E49="B",Settings!$B$15,Settings!$B$16))+IF(F49="S",Settings!$B$17,0)</f>
        <v>0.25</v>
      </c>
      <c r="P49" s="14" t="n">
        <f aca="false">N49*O49</f>
        <v>375</v>
      </c>
      <c r="Q49" s="16" t="n">
        <f aca="false">P49*INDEX(Settings!$B$20:$B$22,MATCH(F49,Settings!$A$20:$A$22,0))</f>
        <v>375</v>
      </c>
      <c r="R49" s="10" t="s">
        <v>20</v>
      </c>
      <c r="S49" s="10" t="s">
        <v>207</v>
      </c>
      <c r="T49" s="10" t="s">
        <v>345</v>
      </c>
      <c r="U49" s="10" t="s">
        <v>61</v>
      </c>
      <c r="V49" s="10" t="s">
        <v>62</v>
      </c>
    </row>
    <row r="50" customFormat="false" ht="35.05" hidden="false" customHeight="false" outlineLevel="0" collapsed="false">
      <c r="A50" s="10" t="s">
        <v>360</v>
      </c>
      <c r="B50" s="11" t="s">
        <v>361</v>
      </c>
      <c r="C50" s="10" t="s">
        <v>261</v>
      </c>
      <c r="D50" s="10" t="s">
        <v>13</v>
      </c>
      <c r="E50" s="17" t="s">
        <v>252</v>
      </c>
      <c r="F50" s="10" t="s">
        <v>52</v>
      </c>
      <c r="G50" s="13" t="s">
        <v>362</v>
      </c>
      <c r="H50" s="10" t="s">
        <v>363</v>
      </c>
      <c r="I50" s="10" t="n">
        <v>2019</v>
      </c>
      <c r="J50" s="10" t="s">
        <v>255</v>
      </c>
      <c r="K50" s="10" t="s">
        <v>264</v>
      </c>
      <c r="L50" s="10" t="s">
        <v>344</v>
      </c>
      <c r="M50" s="10" t="s">
        <v>206</v>
      </c>
      <c r="N50" s="14" t="n">
        <f aca="false">INDEX(Settings!$B$4:$B$10,MATCH(M50,Settings!$A$4:$A$10,0))</f>
        <v>4800</v>
      </c>
      <c r="O50" s="15" t="n">
        <f aca="false">IF(E50="A",IF(I50&gt;=2022,Settings!$B$13,Settings!$B$14),IF(E50="B",Settings!$B$15,Settings!$B$16))+IF(F50="S",Settings!$B$17,0)</f>
        <v>0.12</v>
      </c>
      <c r="P50" s="14" t="n">
        <f aca="false">N50*O50</f>
        <v>576</v>
      </c>
      <c r="Q50" s="16" t="n">
        <f aca="false">P50*INDEX(Settings!$B$20:$B$22,MATCH(F50,Settings!$A$20:$A$22,0))</f>
        <v>345.6</v>
      </c>
      <c r="R50" s="10" t="s">
        <v>20</v>
      </c>
      <c r="S50" s="10" t="s">
        <v>207</v>
      </c>
      <c r="T50" s="10" t="s">
        <v>345</v>
      </c>
      <c r="U50" s="10" t="s">
        <v>61</v>
      </c>
      <c r="V50" s="10" t="s">
        <v>62</v>
      </c>
    </row>
    <row r="51" customFormat="false" ht="35.05" hidden="false" customHeight="false" outlineLevel="0" collapsed="false">
      <c r="A51" s="10" t="s">
        <v>364</v>
      </c>
      <c r="B51" s="11" t="s">
        <v>365</v>
      </c>
      <c r="C51" s="10" t="s">
        <v>199</v>
      </c>
      <c r="D51" s="10" t="s">
        <v>245</v>
      </c>
      <c r="E51" s="17" t="s">
        <v>252</v>
      </c>
      <c r="F51" s="10" t="s">
        <v>52</v>
      </c>
      <c r="G51" s="13" t="s">
        <v>366</v>
      </c>
      <c r="H51" s="10" t="s">
        <v>367</v>
      </c>
      <c r="I51" s="10" t="n">
        <v>2026</v>
      </c>
      <c r="J51" s="10" t="s">
        <v>203</v>
      </c>
      <c r="K51" s="10" t="s">
        <v>204</v>
      </c>
      <c r="L51" s="10" t="s">
        <v>57</v>
      </c>
      <c r="M51" s="10" t="s">
        <v>206</v>
      </c>
      <c r="N51" s="14" t="n">
        <f aca="false">INDEX(Settings!$B$4:$B$10,MATCH(M51,Settings!$A$4:$A$10,0))</f>
        <v>4800</v>
      </c>
      <c r="O51" s="15" t="n">
        <f aca="false">IF(E51="A",IF(I51&gt;=2022,Settings!$B$13,Settings!$B$14),IF(E51="B",Settings!$B$15,Settings!$B$16))+IF(F51="S",Settings!$B$17,0)</f>
        <v>0.12</v>
      </c>
      <c r="P51" s="14" t="n">
        <f aca="false">N51*O51</f>
        <v>576</v>
      </c>
      <c r="Q51" s="16" t="n">
        <f aca="false">P51*INDEX(Settings!$B$20:$B$22,MATCH(F51,Settings!$A$20:$A$22,0))</f>
        <v>345.6</v>
      </c>
      <c r="R51" s="10" t="s">
        <v>20</v>
      </c>
      <c r="S51" s="10" t="s">
        <v>207</v>
      </c>
      <c r="T51" s="10" t="s">
        <v>345</v>
      </c>
      <c r="U51" s="10" t="s">
        <v>61</v>
      </c>
      <c r="V51" s="10" t="s">
        <v>62</v>
      </c>
    </row>
    <row r="52" customFormat="false" ht="35.05" hidden="false" customHeight="false" outlineLevel="0" collapsed="false">
      <c r="A52" s="10" t="s">
        <v>368</v>
      </c>
      <c r="B52" s="11" t="s">
        <v>369</v>
      </c>
      <c r="C52" s="10" t="s">
        <v>199</v>
      </c>
      <c r="D52" s="10" t="s">
        <v>245</v>
      </c>
      <c r="E52" s="17" t="s">
        <v>252</v>
      </c>
      <c r="F52" s="10" t="s">
        <v>52</v>
      </c>
      <c r="G52" s="13" t="s">
        <v>370</v>
      </c>
      <c r="H52" s="10" t="s">
        <v>371</v>
      </c>
      <c r="I52" s="10" t="n">
        <v>2025</v>
      </c>
      <c r="J52" s="10" t="s">
        <v>203</v>
      </c>
      <c r="K52" s="10" t="s">
        <v>204</v>
      </c>
      <c r="L52" s="10" t="s">
        <v>372</v>
      </c>
      <c r="M52" s="10" t="s">
        <v>206</v>
      </c>
      <c r="N52" s="14" t="n">
        <f aca="false">INDEX(Settings!$B$4:$B$10,MATCH(M52,Settings!$A$4:$A$10,0))</f>
        <v>4800</v>
      </c>
      <c r="O52" s="15" t="n">
        <f aca="false">IF(E52="A",IF(I52&gt;=2022,Settings!$B$13,Settings!$B$14),IF(E52="B",Settings!$B$15,Settings!$B$16))+IF(F52="S",Settings!$B$17,0)</f>
        <v>0.12</v>
      </c>
      <c r="P52" s="14" t="n">
        <f aca="false">N52*O52</f>
        <v>576</v>
      </c>
      <c r="Q52" s="16" t="n">
        <f aca="false">P52*INDEX(Settings!$B$20:$B$22,MATCH(F52,Settings!$A$20:$A$22,0))</f>
        <v>345.6</v>
      </c>
      <c r="R52" s="10" t="s">
        <v>20</v>
      </c>
      <c r="S52" s="10" t="s">
        <v>207</v>
      </c>
      <c r="T52" s="10" t="s">
        <v>345</v>
      </c>
      <c r="U52" s="10" t="s">
        <v>61</v>
      </c>
      <c r="V52" s="10" t="s">
        <v>62</v>
      </c>
    </row>
    <row r="53" customFormat="false" ht="35.05" hidden="false" customHeight="false" outlineLevel="0" collapsed="false">
      <c r="A53" s="10" t="s">
        <v>373</v>
      </c>
      <c r="B53" s="11" t="s">
        <v>374</v>
      </c>
      <c r="C53" s="10" t="s">
        <v>375</v>
      </c>
      <c r="D53" s="10" t="s">
        <v>15</v>
      </c>
      <c r="E53" s="12" t="s">
        <v>51</v>
      </c>
      <c r="F53" s="10" t="s">
        <v>200</v>
      </c>
      <c r="G53" s="13" t="s">
        <v>376</v>
      </c>
      <c r="H53" s="10" t="s">
        <v>377</v>
      </c>
      <c r="I53" s="10" t="n">
        <v>2018</v>
      </c>
      <c r="J53" s="10" t="s">
        <v>203</v>
      </c>
      <c r="K53" s="10" t="s">
        <v>204</v>
      </c>
      <c r="L53" s="10" t="s">
        <v>351</v>
      </c>
      <c r="M53" s="10" t="s">
        <v>222</v>
      </c>
      <c r="N53" s="14" t="n">
        <f aca="false">INDEX(Settings!$B$4:$B$10,MATCH(M53,Settings!$A$4:$A$10,0))</f>
        <v>1800</v>
      </c>
      <c r="O53" s="15" t="n">
        <f aca="false">IF(E53="A",IF(I53&gt;=2022,Settings!$B$13,Settings!$B$14),IF(E53="B",Settings!$B$15,Settings!$B$16))+IF(F53="S",Settings!$B$17,0)</f>
        <v>0.15</v>
      </c>
      <c r="P53" s="14" t="n">
        <f aca="false">N53*O53</f>
        <v>270</v>
      </c>
      <c r="Q53" s="16" t="n">
        <f aca="false">P53*INDEX(Settings!$B$20:$B$22,MATCH(F53,Settings!$A$20:$A$22,0))</f>
        <v>270</v>
      </c>
      <c r="R53" s="10" t="s">
        <v>20</v>
      </c>
      <c r="S53" s="10" t="s">
        <v>207</v>
      </c>
      <c r="T53" s="10" t="s">
        <v>345</v>
      </c>
      <c r="U53" s="10" t="s">
        <v>61</v>
      </c>
      <c r="V53" s="10" t="s">
        <v>62</v>
      </c>
    </row>
    <row r="54" customFormat="false" ht="35.05" hidden="false" customHeight="false" outlineLevel="0" collapsed="false">
      <c r="A54" s="10" t="s">
        <v>378</v>
      </c>
      <c r="B54" s="11" t="s">
        <v>379</v>
      </c>
      <c r="C54" s="10" t="s">
        <v>380</v>
      </c>
      <c r="D54" s="10" t="s">
        <v>283</v>
      </c>
      <c r="E54" s="12" t="s">
        <v>51</v>
      </c>
      <c r="F54" s="10" t="s">
        <v>217</v>
      </c>
      <c r="G54" s="13" t="s">
        <v>331</v>
      </c>
      <c r="H54" s="10" t="s">
        <v>381</v>
      </c>
      <c r="I54" s="10" t="n">
        <v>2026</v>
      </c>
      <c r="J54" s="10" t="s">
        <v>203</v>
      </c>
      <c r="K54" s="10" t="s">
        <v>256</v>
      </c>
      <c r="L54" s="10" t="s">
        <v>382</v>
      </c>
      <c r="M54" s="10" t="s">
        <v>383</v>
      </c>
      <c r="N54" s="14" t="n">
        <f aca="false">INDEX(Settings!$B$4:$B$10,MATCH(M54,Settings!$A$4:$A$10,0))</f>
        <v>600</v>
      </c>
      <c r="O54" s="15" t="n">
        <f aca="false">IF(E54="A",IF(I54&gt;=2022,Settings!$B$13,Settings!$B$14),IF(E54="B",Settings!$B$15,Settings!$B$16))+IF(F54="S",Settings!$B$17,0)</f>
        <v>0.3</v>
      </c>
      <c r="P54" s="14" t="n">
        <f aca="false">N54*O54</f>
        <v>180</v>
      </c>
      <c r="Q54" s="16" t="n">
        <f aca="false">P54*INDEX(Settings!$B$20:$B$22,MATCH(F54,Settings!$A$20:$A$22,0))</f>
        <v>270</v>
      </c>
      <c r="R54" s="10" t="s">
        <v>20</v>
      </c>
      <c r="S54" s="10" t="s">
        <v>207</v>
      </c>
      <c r="T54" s="10" t="s">
        <v>384</v>
      </c>
      <c r="U54" s="10" t="s">
        <v>61</v>
      </c>
      <c r="V54" s="10" t="s">
        <v>62</v>
      </c>
    </row>
    <row r="55" customFormat="false" ht="35.05" hidden="false" customHeight="false" outlineLevel="0" collapsed="false">
      <c r="A55" s="10" t="s">
        <v>385</v>
      </c>
      <c r="B55" s="11" t="s">
        <v>386</v>
      </c>
      <c r="C55" s="10" t="s">
        <v>241</v>
      </c>
      <c r="D55" s="10" t="s">
        <v>272</v>
      </c>
      <c r="E55" s="12" t="s">
        <v>51</v>
      </c>
      <c r="F55" s="10" t="s">
        <v>200</v>
      </c>
      <c r="G55" s="13" t="s">
        <v>267</v>
      </c>
      <c r="H55" s="10" t="s">
        <v>268</v>
      </c>
      <c r="I55" s="10" t="n">
        <v>2015</v>
      </c>
      <c r="J55" s="10" t="s">
        <v>203</v>
      </c>
      <c r="K55" s="10" t="s">
        <v>228</v>
      </c>
      <c r="L55" s="10" t="s">
        <v>351</v>
      </c>
      <c r="M55" s="10" t="s">
        <v>222</v>
      </c>
      <c r="N55" s="14" t="n">
        <f aca="false">INDEX(Settings!$B$4:$B$10,MATCH(M55,Settings!$A$4:$A$10,0))</f>
        <v>1800</v>
      </c>
      <c r="O55" s="15" t="n">
        <f aca="false">IF(E55="A",IF(I55&gt;=2022,Settings!$B$13,Settings!$B$14),IF(E55="B",Settings!$B$15,Settings!$B$16))+IF(F55="S",Settings!$B$17,0)</f>
        <v>0.15</v>
      </c>
      <c r="P55" s="14" t="n">
        <f aca="false">N55*O55</f>
        <v>270</v>
      </c>
      <c r="Q55" s="16" t="n">
        <f aca="false">P55*INDEX(Settings!$B$20:$B$22,MATCH(F55,Settings!$A$20:$A$22,0))</f>
        <v>270</v>
      </c>
      <c r="R55" s="10" t="s">
        <v>20</v>
      </c>
      <c r="S55" s="10" t="s">
        <v>207</v>
      </c>
      <c r="T55" s="10" t="s">
        <v>384</v>
      </c>
      <c r="U55" s="10" t="s">
        <v>61</v>
      </c>
      <c r="V55" s="10" t="s">
        <v>62</v>
      </c>
    </row>
    <row r="56" customFormat="false" ht="35.05" hidden="false" customHeight="false" outlineLevel="0" collapsed="false">
      <c r="A56" s="10" t="s">
        <v>387</v>
      </c>
      <c r="B56" s="11" t="s">
        <v>388</v>
      </c>
      <c r="C56" s="10" t="s">
        <v>389</v>
      </c>
      <c r="D56" s="10" t="s">
        <v>245</v>
      </c>
      <c r="E56" s="12" t="s">
        <v>51</v>
      </c>
      <c r="F56" s="10" t="s">
        <v>52</v>
      </c>
      <c r="G56" s="13" t="s">
        <v>218</v>
      </c>
      <c r="H56" s="10" t="s">
        <v>390</v>
      </c>
      <c r="I56" s="10" t="n">
        <v>2023</v>
      </c>
      <c r="J56" s="10" t="s">
        <v>203</v>
      </c>
      <c r="K56" s="10" t="s">
        <v>391</v>
      </c>
      <c r="L56" s="10" t="s">
        <v>344</v>
      </c>
      <c r="M56" s="10" t="s">
        <v>222</v>
      </c>
      <c r="N56" s="14" t="n">
        <f aca="false">INDEX(Settings!$B$4:$B$10,MATCH(M56,Settings!$A$4:$A$10,0))</f>
        <v>1800</v>
      </c>
      <c r="O56" s="15" t="n">
        <f aca="false">IF(E56="A",IF(I56&gt;=2022,Settings!$B$13,Settings!$B$14),IF(E56="B",Settings!$B$15,Settings!$B$16))+IF(F56="S",Settings!$B$17,0)</f>
        <v>0.25</v>
      </c>
      <c r="P56" s="14" t="n">
        <f aca="false">N56*O56</f>
        <v>450</v>
      </c>
      <c r="Q56" s="16" t="n">
        <f aca="false">P56*INDEX(Settings!$B$20:$B$22,MATCH(F56,Settings!$A$20:$A$22,0))</f>
        <v>270</v>
      </c>
      <c r="R56" s="10" t="s">
        <v>20</v>
      </c>
      <c r="S56" s="10" t="s">
        <v>207</v>
      </c>
      <c r="T56" s="10" t="s">
        <v>384</v>
      </c>
      <c r="U56" s="10" t="s">
        <v>61</v>
      </c>
      <c r="V56" s="10" t="s">
        <v>62</v>
      </c>
    </row>
    <row r="57" customFormat="false" ht="35.05" hidden="false" customHeight="false" outlineLevel="0" collapsed="false">
      <c r="A57" s="10" t="s">
        <v>392</v>
      </c>
      <c r="B57" s="11" t="s">
        <v>393</v>
      </c>
      <c r="C57" s="10" t="s">
        <v>389</v>
      </c>
      <c r="D57" s="10" t="s">
        <v>13</v>
      </c>
      <c r="E57" s="12" t="s">
        <v>51</v>
      </c>
      <c r="F57" s="10" t="s">
        <v>52</v>
      </c>
      <c r="G57" s="13" t="s">
        <v>218</v>
      </c>
      <c r="H57" s="10" t="s">
        <v>394</v>
      </c>
      <c r="I57" s="10" t="n">
        <v>2023</v>
      </c>
      <c r="J57" s="10" t="s">
        <v>203</v>
      </c>
      <c r="K57" s="10" t="s">
        <v>391</v>
      </c>
      <c r="L57" s="10" t="s">
        <v>344</v>
      </c>
      <c r="M57" s="10" t="s">
        <v>222</v>
      </c>
      <c r="N57" s="14" t="n">
        <f aca="false">INDEX(Settings!$B$4:$B$10,MATCH(M57,Settings!$A$4:$A$10,0))</f>
        <v>1800</v>
      </c>
      <c r="O57" s="15" t="n">
        <f aca="false">IF(E57="A",IF(I57&gt;=2022,Settings!$B$13,Settings!$B$14),IF(E57="B",Settings!$B$15,Settings!$B$16))+IF(F57="S",Settings!$B$17,0)</f>
        <v>0.25</v>
      </c>
      <c r="P57" s="14" t="n">
        <f aca="false">N57*O57</f>
        <v>450</v>
      </c>
      <c r="Q57" s="16" t="n">
        <f aca="false">P57*INDEX(Settings!$B$20:$B$22,MATCH(F57,Settings!$A$20:$A$22,0))</f>
        <v>270</v>
      </c>
      <c r="R57" s="10" t="s">
        <v>20</v>
      </c>
      <c r="S57" s="10" t="s">
        <v>207</v>
      </c>
      <c r="T57" s="10" t="s">
        <v>384</v>
      </c>
      <c r="U57" s="10" t="s">
        <v>61</v>
      </c>
      <c r="V57" s="10" t="s">
        <v>62</v>
      </c>
    </row>
    <row r="58" customFormat="false" ht="35.05" hidden="false" customHeight="false" outlineLevel="0" collapsed="false">
      <c r="A58" s="10" t="s">
        <v>395</v>
      </c>
      <c r="B58" s="11" t="s">
        <v>396</v>
      </c>
      <c r="C58" s="10" t="s">
        <v>241</v>
      </c>
      <c r="D58" s="10" t="s">
        <v>15</v>
      </c>
      <c r="E58" s="12" t="s">
        <v>51</v>
      </c>
      <c r="F58" s="10" t="s">
        <v>200</v>
      </c>
      <c r="G58" s="13" t="s">
        <v>376</v>
      </c>
      <c r="H58" s="10" t="s">
        <v>397</v>
      </c>
      <c r="I58" s="10" t="n">
        <v>2018</v>
      </c>
      <c r="J58" s="10" t="s">
        <v>203</v>
      </c>
      <c r="K58" s="10" t="s">
        <v>228</v>
      </c>
      <c r="L58" s="10" t="s">
        <v>398</v>
      </c>
      <c r="M58" s="10" t="s">
        <v>222</v>
      </c>
      <c r="N58" s="14" t="n">
        <f aca="false">INDEX(Settings!$B$4:$B$10,MATCH(M58,Settings!$A$4:$A$10,0))</f>
        <v>1800</v>
      </c>
      <c r="O58" s="15" t="n">
        <f aca="false">IF(E58="A",IF(I58&gt;=2022,Settings!$B$13,Settings!$B$14),IF(E58="B",Settings!$B$15,Settings!$B$16))+IF(F58="S",Settings!$B$17,0)</f>
        <v>0.15</v>
      </c>
      <c r="P58" s="14" t="n">
        <f aca="false">N58*O58</f>
        <v>270</v>
      </c>
      <c r="Q58" s="16" t="n">
        <f aca="false">P58*INDEX(Settings!$B$20:$B$22,MATCH(F58,Settings!$A$20:$A$22,0))</f>
        <v>270</v>
      </c>
      <c r="R58" s="10" t="s">
        <v>20</v>
      </c>
      <c r="S58" s="10" t="s">
        <v>207</v>
      </c>
      <c r="T58" s="10" t="s">
        <v>384</v>
      </c>
      <c r="U58" s="10" t="s">
        <v>61</v>
      </c>
      <c r="V58" s="10" t="s">
        <v>62</v>
      </c>
    </row>
    <row r="59" customFormat="false" ht="35.05" hidden="false" customHeight="false" outlineLevel="0" collapsed="false">
      <c r="A59" s="10" t="s">
        <v>399</v>
      </c>
      <c r="B59" s="11" t="s">
        <v>400</v>
      </c>
      <c r="C59" s="10" t="s">
        <v>380</v>
      </c>
      <c r="D59" s="10" t="s">
        <v>236</v>
      </c>
      <c r="E59" s="12" t="s">
        <v>51</v>
      </c>
      <c r="F59" s="10" t="s">
        <v>217</v>
      </c>
      <c r="G59" s="13" t="s">
        <v>331</v>
      </c>
      <c r="H59" s="10" t="s">
        <v>401</v>
      </c>
      <c r="I59" s="10" t="n">
        <v>2026</v>
      </c>
      <c r="J59" s="10" t="s">
        <v>203</v>
      </c>
      <c r="K59" s="10" t="s">
        <v>256</v>
      </c>
      <c r="L59" s="10" t="s">
        <v>221</v>
      </c>
      <c r="M59" s="10" t="s">
        <v>383</v>
      </c>
      <c r="N59" s="14" t="n">
        <f aca="false">INDEX(Settings!$B$4:$B$10,MATCH(M59,Settings!$A$4:$A$10,0))</f>
        <v>600</v>
      </c>
      <c r="O59" s="15" t="n">
        <f aca="false">IF(E59="A",IF(I59&gt;=2022,Settings!$B$13,Settings!$B$14),IF(E59="B",Settings!$B$15,Settings!$B$16))+IF(F59="S",Settings!$B$17,0)</f>
        <v>0.3</v>
      </c>
      <c r="P59" s="14" t="n">
        <f aca="false">N59*O59</f>
        <v>180</v>
      </c>
      <c r="Q59" s="16" t="n">
        <f aca="false">P59*INDEX(Settings!$B$20:$B$22,MATCH(F59,Settings!$A$20:$A$22,0))</f>
        <v>270</v>
      </c>
      <c r="R59" s="10" t="s">
        <v>20</v>
      </c>
      <c r="S59" s="10" t="s">
        <v>207</v>
      </c>
      <c r="T59" s="10" t="s">
        <v>384</v>
      </c>
      <c r="U59" s="10" t="s">
        <v>61</v>
      </c>
      <c r="V59" s="10" t="s">
        <v>62</v>
      </c>
    </row>
    <row r="60" customFormat="false" ht="35.05" hidden="false" customHeight="false" outlineLevel="0" collapsed="false">
      <c r="A60" s="10" t="s">
        <v>402</v>
      </c>
      <c r="B60" s="11" t="s">
        <v>403</v>
      </c>
      <c r="C60" s="10" t="s">
        <v>404</v>
      </c>
      <c r="D60" s="10" t="s">
        <v>13</v>
      </c>
      <c r="E60" s="12" t="s">
        <v>51</v>
      </c>
      <c r="F60" s="10" t="s">
        <v>217</v>
      </c>
      <c r="G60" s="13" t="s">
        <v>218</v>
      </c>
      <c r="H60" s="10" t="s">
        <v>405</v>
      </c>
      <c r="I60" s="10" t="n">
        <v>2023</v>
      </c>
      <c r="J60" s="10" t="s">
        <v>203</v>
      </c>
      <c r="K60" s="10" t="s">
        <v>220</v>
      </c>
      <c r="L60" s="10" t="s">
        <v>221</v>
      </c>
      <c r="M60" s="10" t="s">
        <v>406</v>
      </c>
      <c r="N60" s="14" t="n">
        <f aca="false">INDEX(Settings!$B$4:$B$10,MATCH(M60,Settings!$A$4:$A$10,0))</f>
        <v>540</v>
      </c>
      <c r="O60" s="15" t="n">
        <f aca="false">IF(E60="A",IF(I60&gt;=2022,Settings!$B$13,Settings!$B$14),IF(E60="B",Settings!$B$15,Settings!$B$16))+IF(F60="S",Settings!$B$17,0)</f>
        <v>0.3</v>
      </c>
      <c r="P60" s="14" t="n">
        <f aca="false">N60*O60</f>
        <v>162</v>
      </c>
      <c r="Q60" s="16" t="n">
        <f aca="false">P60*INDEX(Settings!$B$20:$B$22,MATCH(F60,Settings!$A$20:$A$22,0))</f>
        <v>243</v>
      </c>
      <c r="R60" s="10" t="s">
        <v>20</v>
      </c>
      <c r="S60" s="10" t="s">
        <v>207</v>
      </c>
      <c r="T60" s="10" t="s">
        <v>384</v>
      </c>
      <c r="U60" s="10" t="s">
        <v>61</v>
      </c>
      <c r="V60" s="10" t="s">
        <v>62</v>
      </c>
    </row>
    <row r="61" customFormat="false" ht="35.05" hidden="false" customHeight="false" outlineLevel="0" collapsed="false">
      <c r="A61" s="10" t="s">
        <v>407</v>
      </c>
      <c r="B61" s="11" t="s">
        <v>408</v>
      </c>
      <c r="C61" s="10" t="s">
        <v>199</v>
      </c>
      <c r="D61" s="10" t="s">
        <v>15</v>
      </c>
      <c r="E61" s="17" t="s">
        <v>252</v>
      </c>
      <c r="F61" s="10" t="s">
        <v>200</v>
      </c>
      <c r="G61" s="13" t="s">
        <v>409</v>
      </c>
      <c r="H61" s="10" t="s">
        <v>410</v>
      </c>
      <c r="I61" s="10" t="n">
        <v>2026</v>
      </c>
      <c r="J61" s="10" t="s">
        <v>203</v>
      </c>
      <c r="K61" s="10" t="s">
        <v>204</v>
      </c>
      <c r="L61" s="10" t="s">
        <v>351</v>
      </c>
      <c r="M61" s="10" t="s">
        <v>222</v>
      </c>
      <c r="N61" s="14" t="n">
        <f aca="false">INDEX(Settings!$B$4:$B$10,MATCH(M61,Settings!$A$4:$A$10,0))</f>
        <v>1800</v>
      </c>
      <c r="O61" s="15" t="n">
        <f aca="false">IF(E61="A",IF(I61&gt;=2022,Settings!$B$13,Settings!$B$14),IF(E61="B",Settings!$B$15,Settings!$B$16))+IF(F61="S",Settings!$B$17,0)</f>
        <v>0.12</v>
      </c>
      <c r="P61" s="14" t="n">
        <f aca="false">N61*O61</f>
        <v>216</v>
      </c>
      <c r="Q61" s="16" t="n">
        <f aca="false">P61*INDEX(Settings!$B$20:$B$22,MATCH(F61,Settings!$A$20:$A$22,0))</f>
        <v>216</v>
      </c>
      <c r="R61" s="10" t="s">
        <v>20</v>
      </c>
      <c r="S61" s="10" t="s">
        <v>207</v>
      </c>
      <c r="T61" s="10" t="s">
        <v>384</v>
      </c>
      <c r="U61" s="10" t="s">
        <v>61</v>
      </c>
      <c r="V61" s="10" t="s">
        <v>62</v>
      </c>
    </row>
    <row r="62" customFormat="false" ht="46.25" hidden="false" customHeight="false" outlineLevel="0" collapsed="false">
      <c r="A62" s="10" t="s">
        <v>411</v>
      </c>
      <c r="B62" s="11" t="s">
        <v>412</v>
      </c>
      <c r="C62" s="10" t="s">
        <v>199</v>
      </c>
      <c r="D62" s="10" t="s">
        <v>50</v>
      </c>
      <c r="E62" s="17" t="s">
        <v>252</v>
      </c>
      <c r="F62" s="10" t="s">
        <v>200</v>
      </c>
      <c r="G62" s="13" t="s">
        <v>413</v>
      </c>
      <c r="H62" s="10" t="s">
        <v>414</v>
      </c>
      <c r="I62" s="10" t="n">
        <v>2025</v>
      </c>
      <c r="J62" s="10" t="s">
        <v>203</v>
      </c>
      <c r="K62" s="10" t="s">
        <v>415</v>
      </c>
      <c r="L62" s="10" t="s">
        <v>351</v>
      </c>
      <c r="M62" s="10" t="s">
        <v>222</v>
      </c>
      <c r="N62" s="14" t="n">
        <f aca="false">INDEX(Settings!$B$4:$B$10,MATCH(M62,Settings!$A$4:$A$10,0))</f>
        <v>1800</v>
      </c>
      <c r="O62" s="15" t="n">
        <f aca="false">IF(E62="A",IF(I62&gt;=2022,Settings!$B$13,Settings!$B$14),IF(E62="B",Settings!$B$15,Settings!$B$16))+IF(F62="S",Settings!$B$17,0)</f>
        <v>0.12</v>
      </c>
      <c r="P62" s="14" t="n">
        <f aca="false">N62*O62</f>
        <v>216</v>
      </c>
      <c r="Q62" s="16" t="n">
        <f aca="false">P62*INDEX(Settings!$B$20:$B$22,MATCH(F62,Settings!$A$20:$A$22,0))</f>
        <v>216</v>
      </c>
      <c r="R62" s="10" t="s">
        <v>416</v>
      </c>
      <c r="S62" s="10" t="s">
        <v>417</v>
      </c>
      <c r="T62" s="10" t="s">
        <v>418</v>
      </c>
      <c r="U62" s="10" t="s">
        <v>61</v>
      </c>
      <c r="V62" s="10" t="s">
        <v>62</v>
      </c>
    </row>
    <row r="63" customFormat="false" ht="57.45" hidden="false" customHeight="false" outlineLevel="0" collapsed="false">
      <c r="A63" s="10" t="s">
        <v>419</v>
      </c>
      <c r="B63" s="11" t="s">
        <v>420</v>
      </c>
      <c r="C63" s="10" t="s">
        <v>199</v>
      </c>
      <c r="D63" s="10" t="s">
        <v>50</v>
      </c>
      <c r="E63" s="17" t="s">
        <v>252</v>
      </c>
      <c r="F63" s="10" t="s">
        <v>200</v>
      </c>
      <c r="G63" s="13" t="s">
        <v>413</v>
      </c>
      <c r="H63" s="10" t="s">
        <v>421</v>
      </c>
      <c r="I63" s="10" t="n">
        <v>2025</v>
      </c>
      <c r="J63" s="10" t="s">
        <v>203</v>
      </c>
      <c r="K63" s="10" t="s">
        <v>415</v>
      </c>
      <c r="L63" s="10" t="s">
        <v>351</v>
      </c>
      <c r="M63" s="10" t="s">
        <v>222</v>
      </c>
      <c r="N63" s="14" t="n">
        <f aca="false">INDEX(Settings!$B$4:$B$10,MATCH(M63,Settings!$A$4:$A$10,0))</f>
        <v>1800</v>
      </c>
      <c r="O63" s="15" t="n">
        <f aca="false">IF(E63="A",IF(I63&gt;=2022,Settings!$B$13,Settings!$B$14),IF(E63="B",Settings!$B$15,Settings!$B$16))+IF(F63="S",Settings!$B$17,0)</f>
        <v>0.12</v>
      </c>
      <c r="P63" s="14" t="n">
        <f aca="false">N63*O63</f>
        <v>216</v>
      </c>
      <c r="Q63" s="16" t="n">
        <f aca="false">P63*INDEX(Settings!$B$20:$B$22,MATCH(F63,Settings!$A$20:$A$22,0))</f>
        <v>216</v>
      </c>
      <c r="R63" s="10" t="s">
        <v>416</v>
      </c>
      <c r="S63" s="10" t="s">
        <v>417</v>
      </c>
      <c r="T63" s="10" t="s">
        <v>418</v>
      </c>
      <c r="U63" s="10" t="s">
        <v>61</v>
      </c>
      <c r="V63" s="10" t="s">
        <v>62</v>
      </c>
    </row>
    <row r="64" customFormat="false" ht="23.85" hidden="false" customHeight="false" outlineLevel="0" collapsed="false">
      <c r="A64" s="10" t="s">
        <v>422</v>
      </c>
      <c r="B64" s="11" t="s">
        <v>423</v>
      </c>
      <c r="C64" s="10" t="s">
        <v>199</v>
      </c>
      <c r="D64" s="10" t="s">
        <v>15</v>
      </c>
      <c r="E64" s="17" t="s">
        <v>252</v>
      </c>
      <c r="F64" s="10" t="s">
        <v>200</v>
      </c>
      <c r="G64" s="13" t="s">
        <v>409</v>
      </c>
      <c r="H64" s="10" t="s">
        <v>410</v>
      </c>
      <c r="I64" s="10" t="n">
        <v>2026</v>
      </c>
      <c r="J64" s="10" t="s">
        <v>203</v>
      </c>
      <c r="K64" s="10" t="s">
        <v>204</v>
      </c>
      <c r="L64" s="10" t="s">
        <v>351</v>
      </c>
      <c r="M64" s="10" t="s">
        <v>222</v>
      </c>
      <c r="N64" s="14" t="n">
        <f aca="false">INDEX(Settings!$B$4:$B$10,MATCH(M64,Settings!$A$4:$A$10,0))</f>
        <v>1800</v>
      </c>
      <c r="O64" s="15" t="n">
        <f aca="false">IF(E64="A",IF(I64&gt;=2022,Settings!$B$13,Settings!$B$14),IF(E64="B",Settings!$B$15,Settings!$B$16))+IF(F64="S",Settings!$B$17,0)</f>
        <v>0.12</v>
      </c>
      <c r="P64" s="14" t="n">
        <f aca="false">N64*O64</f>
        <v>216</v>
      </c>
      <c r="Q64" s="16" t="n">
        <f aca="false">P64*INDEX(Settings!$B$20:$B$22,MATCH(F64,Settings!$A$20:$A$22,0))</f>
        <v>216</v>
      </c>
      <c r="R64" s="10" t="s">
        <v>20</v>
      </c>
      <c r="S64" s="10" t="s">
        <v>424</v>
      </c>
      <c r="T64" s="10" t="s">
        <v>425</v>
      </c>
      <c r="U64" s="10" t="s">
        <v>61</v>
      </c>
      <c r="V64" s="10" t="s">
        <v>62</v>
      </c>
    </row>
    <row r="65" customFormat="false" ht="35.05" hidden="false" customHeight="false" outlineLevel="0" collapsed="false">
      <c r="A65" s="10" t="s">
        <v>426</v>
      </c>
      <c r="B65" s="11" t="s">
        <v>427</v>
      </c>
      <c r="C65" s="10" t="s">
        <v>428</v>
      </c>
      <c r="D65" s="10" t="s">
        <v>16</v>
      </c>
      <c r="E65" s="17" t="s">
        <v>252</v>
      </c>
      <c r="F65" s="10" t="s">
        <v>200</v>
      </c>
      <c r="G65" s="13" t="s">
        <v>429</v>
      </c>
      <c r="H65" s="10" t="s">
        <v>430</v>
      </c>
      <c r="I65" s="10" t="n">
        <v>2026</v>
      </c>
      <c r="J65" s="10" t="s">
        <v>203</v>
      </c>
      <c r="K65" s="10" t="s">
        <v>256</v>
      </c>
      <c r="L65" s="10" t="s">
        <v>431</v>
      </c>
      <c r="M65" s="10" t="s">
        <v>222</v>
      </c>
      <c r="N65" s="14" t="n">
        <f aca="false">INDEX(Settings!$B$4:$B$10,MATCH(M65,Settings!$A$4:$A$10,0))</f>
        <v>1800</v>
      </c>
      <c r="O65" s="15" t="n">
        <f aca="false">IF(E65="A",IF(I65&gt;=2022,Settings!$B$13,Settings!$B$14),IF(E65="B",Settings!$B$15,Settings!$B$16))+IF(F65="S",Settings!$B$17,0)</f>
        <v>0.12</v>
      </c>
      <c r="P65" s="14" t="n">
        <f aca="false">N65*O65</f>
        <v>216</v>
      </c>
      <c r="Q65" s="16" t="n">
        <f aca="false">P65*INDEX(Settings!$B$20:$B$22,MATCH(F65,Settings!$A$20:$A$22,0))</f>
        <v>216</v>
      </c>
      <c r="R65" s="10" t="s">
        <v>20</v>
      </c>
      <c r="S65" s="10" t="s">
        <v>207</v>
      </c>
      <c r="T65" s="10" t="s">
        <v>384</v>
      </c>
      <c r="U65" s="10" t="s">
        <v>61</v>
      </c>
      <c r="V65" s="10" t="s">
        <v>62</v>
      </c>
    </row>
    <row r="66" customFormat="false" ht="23.85" hidden="false" customHeight="false" outlineLevel="0" collapsed="false">
      <c r="A66" s="10" t="s">
        <v>432</v>
      </c>
      <c r="B66" s="11" t="s">
        <v>433</v>
      </c>
      <c r="C66" s="10" t="s">
        <v>434</v>
      </c>
      <c r="D66" s="10" t="s">
        <v>283</v>
      </c>
      <c r="E66" s="17" t="s">
        <v>252</v>
      </c>
      <c r="F66" s="10" t="s">
        <v>200</v>
      </c>
      <c r="G66" s="13" t="s">
        <v>435</v>
      </c>
      <c r="H66" s="10" t="s">
        <v>436</v>
      </c>
      <c r="I66" s="10" t="n">
        <v>2026</v>
      </c>
      <c r="J66" s="10" t="s">
        <v>203</v>
      </c>
      <c r="K66" s="10" t="s">
        <v>264</v>
      </c>
      <c r="L66" s="10" t="s">
        <v>351</v>
      </c>
      <c r="M66" s="10" t="s">
        <v>222</v>
      </c>
      <c r="N66" s="14" t="n">
        <f aca="false">INDEX(Settings!$B$4:$B$10,MATCH(M66,Settings!$A$4:$A$10,0))</f>
        <v>1800</v>
      </c>
      <c r="O66" s="15" t="n">
        <f aca="false">IF(E66="A",IF(I66&gt;=2022,Settings!$B$13,Settings!$B$14),IF(E66="B",Settings!$B$15,Settings!$B$16))+IF(F66="S",Settings!$B$17,0)</f>
        <v>0.12</v>
      </c>
      <c r="P66" s="14" t="n">
        <f aca="false">N66*O66</f>
        <v>216</v>
      </c>
      <c r="Q66" s="16" t="n">
        <f aca="false">P66*INDEX(Settings!$B$20:$B$22,MATCH(F66,Settings!$A$20:$A$22,0))</f>
        <v>216</v>
      </c>
      <c r="R66" s="10" t="s">
        <v>20</v>
      </c>
      <c r="S66" s="10" t="s">
        <v>424</v>
      </c>
      <c r="T66" s="10" t="s">
        <v>425</v>
      </c>
      <c r="U66" s="10" t="s">
        <v>61</v>
      </c>
      <c r="V66" s="10" t="s">
        <v>62</v>
      </c>
    </row>
    <row r="67" customFormat="false" ht="23.85" hidden="false" customHeight="false" outlineLevel="0" collapsed="false">
      <c r="A67" s="10" t="s">
        <v>437</v>
      </c>
      <c r="B67" s="11" t="s">
        <v>438</v>
      </c>
      <c r="C67" s="10" t="s">
        <v>439</v>
      </c>
      <c r="D67" s="10" t="s">
        <v>283</v>
      </c>
      <c r="E67" s="17" t="s">
        <v>252</v>
      </c>
      <c r="F67" s="10" t="s">
        <v>200</v>
      </c>
      <c r="G67" s="13" t="s">
        <v>440</v>
      </c>
      <c r="H67" s="10" t="s">
        <v>441</v>
      </c>
      <c r="I67" s="10" t="n">
        <v>2026</v>
      </c>
      <c r="J67" s="10" t="s">
        <v>255</v>
      </c>
      <c r="K67" s="10" t="s">
        <v>264</v>
      </c>
      <c r="L67" s="10" t="s">
        <v>351</v>
      </c>
      <c r="M67" s="10" t="s">
        <v>222</v>
      </c>
      <c r="N67" s="14" t="n">
        <f aca="false">INDEX(Settings!$B$4:$B$10,MATCH(M67,Settings!$A$4:$A$10,0))</f>
        <v>1800</v>
      </c>
      <c r="O67" s="15" t="n">
        <f aca="false">IF(E67="A",IF(I67&gt;=2022,Settings!$B$13,Settings!$B$14),IF(E67="B",Settings!$B$15,Settings!$B$16))+IF(F67="S",Settings!$B$17,0)</f>
        <v>0.12</v>
      </c>
      <c r="P67" s="14" t="n">
        <f aca="false">N67*O67</f>
        <v>216</v>
      </c>
      <c r="Q67" s="16" t="n">
        <f aca="false">P67*INDEX(Settings!$B$20:$B$22,MATCH(F67,Settings!$A$20:$A$22,0))</f>
        <v>216</v>
      </c>
      <c r="R67" s="10" t="s">
        <v>20</v>
      </c>
      <c r="S67" s="10" t="s">
        <v>424</v>
      </c>
      <c r="T67" s="10" t="s">
        <v>425</v>
      </c>
      <c r="U67" s="10" t="s">
        <v>61</v>
      </c>
      <c r="V67" s="10" t="s">
        <v>62</v>
      </c>
    </row>
    <row r="68" customFormat="false" ht="35.05" hidden="false" customHeight="false" outlineLevel="0" collapsed="false">
      <c r="A68" s="10" t="s">
        <v>442</v>
      </c>
      <c r="B68" s="11" t="s">
        <v>443</v>
      </c>
      <c r="C68" s="10" t="s">
        <v>444</v>
      </c>
      <c r="D68" s="10" t="s">
        <v>16</v>
      </c>
      <c r="E68" s="17" t="s">
        <v>252</v>
      </c>
      <c r="F68" s="10" t="s">
        <v>217</v>
      </c>
      <c r="G68" s="13" t="s">
        <v>445</v>
      </c>
      <c r="H68" s="10" t="s">
        <v>446</v>
      </c>
      <c r="I68" s="10" t="n">
        <v>2026</v>
      </c>
      <c r="J68" s="10" t="s">
        <v>255</v>
      </c>
      <c r="K68" s="10" t="s">
        <v>256</v>
      </c>
      <c r="L68" s="10" t="s">
        <v>447</v>
      </c>
      <c r="M68" s="10" t="s">
        <v>222</v>
      </c>
      <c r="N68" s="14" t="n">
        <f aca="false">INDEX(Settings!$B$4:$B$10,MATCH(M68,Settings!$A$4:$A$10,0))</f>
        <v>1800</v>
      </c>
      <c r="O68" s="15" t="n">
        <f aca="false">IF(E68="A",IF(I68&gt;=2022,Settings!$B$13,Settings!$B$14),IF(E68="B",Settings!$B$15,Settings!$B$16))+IF(F68="S",Settings!$B$17,0)</f>
        <v>0.17</v>
      </c>
      <c r="P68" s="14" t="n">
        <f aca="false">N68*O68</f>
        <v>306</v>
      </c>
      <c r="Q68" s="16" t="n">
        <f aca="false">P68*INDEX(Settings!$B$20:$B$22,MATCH(F68,Settings!$A$20:$A$22,0))</f>
        <v>459</v>
      </c>
      <c r="R68" s="10" t="s">
        <v>20</v>
      </c>
      <c r="S68" s="10" t="s">
        <v>207</v>
      </c>
      <c r="T68" s="10" t="s">
        <v>384</v>
      </c>
      <c r="U68" s="10" t="s">
        <v>61</v>
      </c>
      <c r="V68" s="10" t="s">
        <v>62</v>
      </c>
    </row>
    <row r="69" customFormat="false" ht="23.85" hidden="false" customHeight="false" outlineLevel="0" collapsed="false">
      <c r="A69" s="10" t="s">
        <v>448</v>
      </c>
      <c r="B69" s="11" t="s">
        <v>449</v>
      </c>
      <c r="C69" s="10" t="s">
        <v>450</v>
      </c>
      <c r="D69" s="10" t="s">
        <v>13</v>
      </c>
      <c r="E69" s="17" t="s">
        <v>252</v>
      </c>
      <c r="F69" s="10" t="s">
        <v>200</v>
      </c>
      <c r="G69" s="13" t="s">
        <v>451</v>
      </c>
      <c r="H69" s="10" t="s">
        <v>452</v>
      </c>
      <c r="I69" s="10" t="n">
        <v>2026</v>
      </c>
      <c r="J69" s="10" t="s">
        <v>255</v>
      </c>
      <c r="K69" s="10" t="s">
        <v>220</v>
      </c>
      <c r="L69" s="10" t="s">
        <v>351</v>
      </c>
      <c r="M69" s="10" t="s">
        <v>222</v>
      </c>
      <c r="N69" s="14" t="n">
        <f aca="false">INDEX(Settings!$B$4:$B$10,MATCH(M69,Settings!$A$4:$A$10,0))</f>
        <v>1800</v>
      </c>
      <c r="O69" s="15" t="n">
        <f aca="false">IF(E69="A",IF(I69&gt;=2022,Settings!$B$13,Settings!$B$14),IF(E69="B",Settings!$B$15,Settings!$B$16))+IF(F69="S",Settings!$B$17,0)</f>
        <v>0.12</v>
      </c>
      <c r="P69" s="14" t="n">
        <f aca="false">N69*O69</f>
        <v>216</v>
      </c>
      <c r="Q69" s="16" t="n">
        <f aca="false">P69*INDEX(Settings!$B$20:$B$22,MATCH(F69,Settings!$A$20:$A$22,0))</f>
        <v>216</v>
      </c>
      <c r="R69" s="10" t="s">
        <v>20</v>
      </c>
      <c r="S69" s="10" t="s">
        <v>424</v>
      </c>
      <c r="T69" s="10" t="s">
        <v>425</v>
      </c>
      <c r="U69" s="10" t="s">
        <v>61</v>
      </c>
      <c r="V69" s="10" t="s">
        <v>62</v>
      </c>
    </row>
    <row r="70" customFormat="false" ht="35.05" hidden="false" customHeight="false" outlineLevel="0" collapsed="false">
      <c r="A70" s="10" t="s">
        <v>453</v>
      </c>
      <c r="B70" s="11" t="s">
        <v>454</v>
      </c>
      <c r="C70" s="10" t="s">
        <v>455</v>
      </c>
      <c r="D70" s="10" t="s">
        <v>12</v>
      </c>
      <c r="E70" s="17" t="s">
        <v>252</v>
      </c>
      <c r="F70" s="10" t="s">
        <v>217</v>
      </c>
      <c r="G70" s="13" t="s">
        <v>456</v>
      </c>
      <c r="H70" s="10" t="s">
        <v>457</v>
      </c>
      <c r="I70" s="10" t="n">
        <v>2026</v>
      </c>
      <c r="J70" s="10" t="s">
        <v>203</v>
      </c>
      <c r="K70" s="10" t="s">
        <v>256</v>
      </c>
      <c r="L70" s="10" t="s">
        <v>351</v>
      </c>
      <c r="M70" s="10" t="s">
        <v>222</v>
      </c>
      <c r="N70" s="14" t="n">
        <f aca="false">INDEX(Settings!$B$4:$B$10,MATCH(M70,Settings!$A$4:$A$10,0))</f>
        <v>1800</v>
      </c>
      <c r="O70" s="15" t="n">
        <f aca="false">IF(E70="A",IF(I70&gt;=2022,Settings!$B$13,Settings!$B$14),IF(E70="B",Settings!$B$15,Settings!$B$16))+IF(F70="S",Settings!$B$17,0)</f>
        <v>0.17</v>
      </c>
      <c r="P70" s="14" t="n">
        <f aca="false">N70*O70</f>
        <v>306</v>
      </c>
      <c r="Q70" s="16" t="n">
        <f aca="false">P70*INDEX(Settings!$B$20:$B$22,MATCH(F70,Settings!$A$20:$A$22,0))</f>
        <v>459</v>
      </c>
      <c r="R70" s="10" t="s">
        <v>20</v>
      </c>
      <c r="S70" s="10" t="s">
        <v>207</v>
      </c>
      <c r="T70" s="10" t="s">
        <v>384</v>
      </c>
      <c r="U70" s="10" t="s">
        <v>61</v>
      </c>
      <c r="V70" s="10" t="s">
        <v>62</v>
      </c>
    </row>
    <row r="71" customFormat="false" ht="23.85" hidden="false" customHeight="false" outlineLevel="0" collapsed="false">
      <c r="A71" s="10" t="s">
        <v>458</v>
      </c>
      <c r="B71" s="11" t="s">
        <v>459</v>
      </c>
      <c r="C71" s="10" t="s">
        <v>241</v>
      </c>
      <c r="D71" s="10" t="s">
        <v>283</v>
      </c>
      <c r="E71" s="17" t="s">
        <v>252</v>
      </c>
      <c r="F71" s="10" t="s">
        <v>200</v>
      </c>
      <c r="G71" s="13" t="s">
        <v>460</v>
      </c>
      <c r="H71" s="10" t="s">
        <v>461</v>
      </c>
      <c r="I71" s="10" t="n">
        <v>2026</v>
      </c>
      <c r="J71" s="10" t="s">
        <v>255</v>
      </c>
      <c r="K71" s="10" t="s">
        <v>228</v>
      </c>
      <c r="L71" s="10" t="s">
        <v>462</v>
      </c>
      <c r="M71" s="10" t="s">
        <v>222</v>
      </c>
      <c r="N71" s="14" t="n">
        <f aca="false">INDEX(Settings!$B$4:$B$10,MATCH(M71,Settings!$A$4:$A$10,0))</f>
        <v>1800</v>
      </c>
      <c r="O71" s="15" t="n">
        <f aca="false">IF(E71="A",IF(I71&gt;=2022,Settings!$B$13,Settings!$B$14),IF(E71="B",Settings!$B$15,Settings!$B$16))+IF(F71="S",Settings!$B$17,0)</f>
        <v>0.12</v>
      </c>
      <c r="P71" s="14" t="n">
        <f aca="false">N71*O71</f>
        <v>216</v>
      </c>
      <c r="Q71" s="16" t="n">
        <f aca="false">P71*INDEX(Settings!$B$20:$B$22,MATCH(F71,Settings!$A$20:$A$22,0))</f>
        <v>216</v>
      </c>
      <c r="R71" s="10" t="s">
        <v>20</v>
      </c>
      <c r="S71" s="10" t="s">
        <v>424</v>
      </c>
      <c r="T71" s="10" t="s">
        <v>425</v>
      </c>
      <c r="U71" s="10" t="s">
        <v>61</v>
      </c>
      <c r="V71" s="10" t="s">
        <v>62</v>
      </c>
    </row>
    <row r="72" customFormat="false" ht="35.05" hidden="false" customHeight="false" outlineLevel="0" collapsed="false">
      <c r="A72" s="10" t="s">
        <v>463</v>
      </c>
      <c r="B72" s="11" t="s">
        <v>464</v>
      </c>
      <c r="C72" s="10" t="s">
        <v>465</v>
      </c>
      <c r="D72" s="10" t="s">
        <v>16</v>
      </c>
      <c r="E72" s="17" t="s">
        <v>252</v>
      </c>
      <c r="F72" s="10" t="s">
        <v>52</v>
      </c>
      <c r="G72" s="13" t="s">
        <v>466</v>
      </c>
      <c r="H72" s="10" t="s">
        <v>467</v>
      </c>
      <c r="I72" s="10" t="n">
        <v>2026</v>
      </c>
      <c r="J72" s="10" t="s">
        <v>203</v>
      </c>
      <c r="K72" s="10" t="s">
        <v>256</v>
      </c>
      <c r="L72" s="10" t="s">
        <v>468</v>
      </c>
      <c r="M72" s="10" t="s">
        <v>222</v>
      </c>
      <c r="N72" s="14" t="n">
        <f aca="false">INDEX(Settings!$B$4:$B$10,MATCH(M72,Settings!$A$4:$A$10,0))</f>
        <v>1800</v>
      </c>
      <c r="O72" s="15" t="n">
        <f aca="false">IF(E72="A",IF(I72&gt;=2022,Settings!$B$13,Settings!$B$14),IF(E72="B",Settings!$B$15,Settings!$B$16))+IF(F72="S",Settings!$B$17,0)</f>
        <v>0.12</v>
      </c>
      <c r="P72" s="14" t="n">
        <f aca="false">N72*O72</f>
        <v>216</v>
      </c>
      <c r="Q72" s="16" t="n">
        <f aca="false">P72*INDEX(Settings!$B$20:$B$22,MATCH(F72,Settings!$A$20:$A$22,0))</f>
        <v>129.6</v>
      </c>
      <c r="R72" s="10" t="s">
        <v>20</v>
      </c>
      <c r="S72" s="10" t="s">
        <v>207</v>
      </c>
      <c r="T72" s="10" t="s">
        <v>384</v>
      </c>
      <c r="U72" s="10" t="s">
        <v>61</v>
      </c>
      <c r="V72" s="10" t="s">
        <v>62</v>
      </c>
    </row>
    <row r="73" customFormat="false" ht="23.85" hidden="false" customHeight="false" outlineLevel="0" collapsed="false">
      <c r="A73" s="10" t="s">
        <v>469</v>
      </c>
      <c r="B73" s="11" t="s">
        <v>470</v>
      </c>
      <c r="C73" s="10" t="s">
        <v>471</v>
      </c>
      <c r="D73" s="10" t="s">
        <v>15</v>
      </c>
      <c r="E73" s="17" t="s">
        <v>252</v>
      </c>
      <c r="F73" s="10" t="s">
        <v>200</v>
      </c>
      <c r="G73" s="13" t="s">
        <v>472</v>
      </c>
      <c r="H73" s="10" t="s">
        <v>473</v>
      </c>
      <c r="I73" s="10" t="n">
        <v>2026</v>
      </c>
      <c r="J73" s="10" t="s">
        <v>255</v>
      </c>
      <c r="K73" s="10" t="s">
        <v>228</v>
      </c>
      <c r="L73" s="10" t="s">
        <v>351</v>
      </c>
      <c r="M73" s="10" t="s">
        <v>222</v>
      </c>
      <c r="N73" s="14" t="n">
        <f aca="false">INDEX(Settings!$B$4:$B$10,MATCH(M73,Settings!$A$4:$A$10,0))</f>
        <v>1800</v>
      </c>
      <c r="O73" s="15" t="n">
        <f aca="false">IF(E73="A",IF(I73&gt;=2022,Settings!$B$13,Settings!$B$14),IF(E73="B",Settings!$B$15,Settings!$B$16))+IF(F73="S",Settings!$B$17,0)</f>
        <v>0.12</v>
      </c>
      <c r="P73" s="14" t="n">
        <f aca="false">N73*O73</f>
        <v>216</v>
      </c>
      <c r="Q73" s="16" t="n">
        <f aca="false">P73*INDEX(Settings!$B$20:$B$22,MATCH(F73,Settings!$A$20:$A$22,0))</f>
        <v>216</v>
      </c>
      <c r="R73" s="10" t="s">
        <v>20</v>
      </c>
      <c r="S73" s="10" t="s">
        <v>424</v>
      </c>
      <c r="T73" s="10" t="s">
        <v>425</v>
      </c>
      <c r="U73" s="10" t="s">
        <v>61</v>
      </c>
      <c r="V73" s="10" t="s">
        <v>62</v>
      </c>
    </row>
    <row r="74" customFormat="false" ht="23.85" hidden="false" customHeight="false" outlineLevel="0" collapsed="false">
      <c r="A74" s="10" t="s">
        <v>474</v>
      </c>
      <c r="B74" s="11" t="s">
        <v>475</v>
      </c>
      <c r="C74" s="10" t="s">
        <v>261</v>
      </c>
      <c r="D74" s="10" t="s">
        <v>13</v>
      </c>
      <c r="E74" s="17" t="s">
        <v>252</v>
      </c>
      <c r="F74" s="10" t="s">
        <v>200</v>
      </c>
      <c r="G74" s="13" t="s">
        <v>476</v>
      </c>
      <c r="H74" s="10" t="s">
        <v>477</v>
      </c>
      <c r="I74" s="10" t="n">
        <v>2026</v>
      </c>
      <c r="J74" s="10" t="s">
        <v>203</v>
      </c>
      <c r="K74" s="10" t="s">
        <v>264</v>
      </c>
      <c r="L74" s="10" t="s">
        <v>351</v>
      </c>
      <c r="M74" s="10" t="s">
        <v>222</v>
      </c>
      <c r="N74" s="14" t="n">
        <f aca="false">INDEX(Settings!$B$4:$B$10,MATCH(M74,Settings!$A$4:$A$10,0))</f>
        <v>1800</v>
      </c>
      <c r="O74" s="15" t="n">
        <f aca="false">IF(E74="A",IF(I74&gt;=2022,Settings!$B$13,Settings!$B$14),IF(E74="B",Settings!$B$15,Settings!$B$16))+IF(F74="S",Settings!$B$17,0)</f>
        <v>0.12</v>
      </c>
      <c r="P74" s="14" t="n">
        <f aca="false">N74*O74</f>
        <v>216</v>
      </c>
      <c r="Q74" s="16" t="n">
        <f aca="false">P74*INDEX(Settings!$B$20:$B$22,MATCH(F74,Settings!$A$20:$A$22,0))</f>
        <v>216</v>
      </c>
      <c r="R74" s="10" t="s">
        <v>20</v>
      </c>
      <c r="S74" s="10" t="s">
        <v>424</v>
      </c>
      <c r="T74" s="10" t="s">
        <v>425</v>
      </c>
      <c r="U74" s="10" t="s">
        <v>61</v>
      </c>
      <c r="V74" s="10" t="s">
        <v>62</v>
      </c>
    </row>
    <row r="75" customFormat="false" ht="35.05" hidden="false" customHeight="false" outlineLevel="0" collapsed="false">
      <c r="A75" s="10" t="s">
        <v>478</v>
      </c>
      <c r="B75" s="11" t="s">
        <v>475</v>
      </c>
      <c r="C75" s="10" t="s">
        <v>479</v>
      </c>
      <c r="D75" s="10" t="s">
        <v>13</v>
      </c>
      <c r="E75" s="17" t="s">
        <v>252</v>
      </c>
      <c r="F75" s="10" t="s">
        <v>217</v>
      </c>
      <c r="G75" s="13" t="s">
        <v>476</v>
      </c>
      <c r="H75" s="10" t="s">
        <v>480</v>
      </c>
      <c r="I75" s="10" t="n">
        <v>2026</v>
      </c>
      <c r="J75" s="10" t="s">
        <v>203</v>
      </c>
      <c r="K75" s="10" t="s">
        <v>256</v>
      </c>
      <c r="L75" s="10" t="s">
        <v>351</v>
      </c>
      <c r="M75" s="10" t="s">
        <v>222</v>
      </c>
      <c r="N75" s="14" t="n">
        <f aca="false">INDEX(Settings!$B$4:$B$10,MATCH(M75,Settings!$A$4:$A$10,0))</f>
        <v>1800</v>
      </c>
      <c r="O75" s="15" t="n">
        <f aca="false">IF(E75="A",IF(I75&gt;=2022,Settings!$B$13,Settings!$B$14),IF(E75="B",Settings!$B$15,Settings!$B$16))+IF(F75="S",Settings!$B$17,0)</f>
        <v>0.17</v>
      </c>
      <c r="P75" s="14" t="n">
        <f aca="false">N75*O75</f>
        <v>306</v>
      </c>
      <c r="Q75" s="16" t="n">
        <f aca="false">P75*INDEX(Settings!$B$20:$B$22,MATCH(F75,Settings!$A$20:$A$22,0))</f>
        <v>459</v>
      </c>
      <c r="R75" s="10" t="s">
        <v>20</v>
      </c>
      <c r="S75" s="10" t="s">
        <v>207</v>
      </c>
      <c r="T75" s="10" t="s">
        <v>384</v>
      </c>
      <c r="U75" s="10" t="s">
        <v>61</v>
      </c>
      <c r="V75" s="10" t="s">
        <v>62</v>
      </c>
    </row>
    <row r="76" customFormat="false" ht="35.05" hidden="false" customHeight="false" outlineLevel="0" collapsed="false">
      <c r="A76" s="10" t="s">
        <v>481</v>
      </c>
      <c r="B76" s="11" t="s">
        <v>482</v>
      </c>
      <c r="C76" s="10" t="s">
        <v>428</v>
      </c>
      <c r="D76" s="10" t="s">
        <v>16</v>
      </c>
      <c r="E76" s="17" t="s">
        <v>252</v>
      </c>
      <c r="F76" s="10" t="s">
        <v>200</v>
      </c>
      <c r="G76" s="13" t="s">
        <v>483</v>
      </c>
      <c r="H76" s="10" t="s">
        <v>484</v>
      </c>
      <c r="I76" s="10" t="n">
        <v>2026</v>
      </c>
      <c r="J76" s="10" t="s">
        <v>255</v>
      </c>
      <c r="K76" s="10" t="s">
        <v>256</v>
      </c>
      <c r="L76" s="10" t="s">
        <v>485</v>
      </c>
      <c r="M76" s="10" t="s">
        <v>222</v>
      </c>
      <c r="N76" s="14" t="n">
        <f aca="false">INDEX(Settings!$B$4:$B$10,MATCH(M76,Settings!$A$4:$A$10,0))</f>
        <v>1800</v>
      </c>
      <c r="O76" s="15" t="n">
        <f aca="false">IF(E76="A",IF(I76&gt;=2022,Settings!$B$13,Settings!$B$14),IF(E76="B",Settings!$B$15,Settings!$B$16))+IF(F76="S",Settings!$B$17,0)</f>
        <v>0.12</v>
      </c>
      <c r="P76" s="14" t="n">
        <f aca="false">N76*O76</f>
        <v>216</v>
      </c>
      <c r="Q76" s="16" t="n">
        <f aca="false">P76*INDEX(Settings!$B$20:$B$22,MATCH(F76,Settings!$A$20:$A$22,0))</f>
        <v>216</v>
      </c>
      <c r="R76" s="10" t="s">
        <v>20</v>
      </c>
      <c r="S76" s="10" t="s">
        <v>207</v>
      </c>
      <c r="T76" s="10" t="s">
        <v>384</v>
      </c>
      <c r="U76" s="10" t="s">
        <v>61</v>
      </c>
      <c r="V76" s="10" t="s">
        <v>62</v>
      </c>
    </row>
    <row r="77" customFormat="false" ht="23.85" hidden="false" customHeight="false" outlineLevel="0" collapsed="false">
      <c r="A77" s="10" t="s">
        <v>486</v>
      </c>
      <c r="B77" s="11" t="s">
        <v>487</v>
      </c>
      <c r="C77" s="10" t="s">
        <v>488</v>
      </c>
      <c r="D77" s="10" t="s">
        <v>236</v>
      </c>
      <c r="E77" s="17" t="s">
        <v>252</v>
      </c>
      <c r="F77" s="10" t="s">
        <v>200</v>
      </c>
      <c r="G77" s="13" t="s">
        <v>409</v>
      </c>
      <c r="H77" s="10" t="s">
        <v>410</v>
      </c>
      <c r="I77" s="10" t="n">
        <v>2026</v>
      </c>
      <c r="J77" s="10" t="s">
        <v>203</v>
      </c>
      <c r="K77" s="10" t="s">
        <v>204</v>
      </c>
      <c r="L77" s="10" t="s">
        <v>351</v>
      </c>
      <c r="M77" s="10" t="s">
        <v>222</v>
      </c>
      <c r="N77" s="14" t="n">
        <f aca="false">INDEX(Settings!$B$4:$B$10,MATCH(M77,Settings!$A$4:$A$10,0))</f>
        <v>1800</v>
      </c>
      <c r="O77" s="15" t="n">
        <f aca="false">IF(E77="A",IF(I77&gt;=2022,Settings!$B$13,Settings!$B$14),IF(E77="B",Settings!$B$15,Settings!$B$16))+IF(F77="S",Settings!$B$17,0)</f>
        <v>0.12</v>
      </c>
      <c r="P77" s="14" t="n">
        <f aca="false">N77*O77</f>
        <v>216</v>
      </c>
      <c r="Q77" s="16" t="n">
        <f aca="false">P77*INDEX(Settings!$B$20:$B$22,MATCH(F77,Settings!$A$20:$A$22,0))</f>
        <v>216</v>
      </c>
      <c r="R77" s="10" t="s">
        <v>20</v>
      </c>
      <c r="S77" s="10" t="s">
        <v>424</v>
      </c>
      <c r="T77" s="10" t="s">
        <v>425</v>
      </c>
      <c r="U77" s="10" t="s">
        <v>61</v>
      </c>
      <c r="V77" s="10" t="s">
        <v>62</v>
      </c>
    </row>
    <row r="78" customFormat="false" ht="23.85" hidden="false" customHeight="false" outlineLevel="0" collapsed="false">
      <c r="A78" s="10" t="s">
        <v>489</v>
      </c>
      <c r="B78" s="11" t="s">
        <v>490</v>
      </c>
      <c r="C78" s="10" t="s">
        <v>491</v>
      </c>
      <c r="D78" s="10" t="s">
        <v>13</v>
      </c>
      <c r="E78" s="17" t="s">
        <v>252</v>
      </c>
      <c r="F78" s="10" t="s">
        <v>200</v>
      </c>
      <c r="G78" s="13" t="s">
        <v>492</v>
      </c>
      <c r="H78" s="10" t="s">
        <v>493</v>
      </c>
      <c r="I78" s="10" t="n">
        <v>2019</v>
      </c>
      <c r="J78" s="10" t="s">
        <v>255</v>
      </c>
      <c r="K78" s="10" t="s">
        <v>391</v>
      </c>
      <c r="L78" s="10" t="s">
        <v>351</v>
      </c>
      <c r="M78" s="10" t="s">
        <v>222</v>
      </c>
      <c r="N78" s="14" t="n">
        <f aca="false">INDEX(Settings!$B$4:$B$10,MATCH(M78,Settings!$A$4:$A$10,0))</f>
        <v>1800</v>
      </c>
      <c r="O78" s="15" t="n">
        <f aca="false">IF(E78="A",IF(I78&gt;=2022,Settings!$B$13,Settings!$B$14),IF(E78="B",Settings!$B$15,Settings!$B$16))+IF(F78="S",Settings!$B$17,0)</f>
        <v>0.12</v>
      </c>
      <c r="P78" s="14" t="n">
        <f aca="false">N78*O78</f>
        <v>216</v>
      </c>
      <c r="Q78" s="16" t="n">
        <f aca="false">P78*INDEX(Settings!$B$20:$B$22,MATCH(F78,Settings!$A$20:$A$22,0))</f>
        <v>216</v>
      </c>
      <c r="R78" s="10" t="s">
        <v>20</v>
      </c>
      <c r="S78" s="10" t="s">
        <v>424</v>
      </c>
      <c r="T78" s="10" t="s">
        <v>425</v>
      </c>
      <c r="U78" s="10" t="s">
        <v>61</v>
      </c>
      <c r="V78" s="10" t="s">
        <v>62</v>
      </c>
    </row>
    <row r="79" customFormat="false" ht="46.25" hidden="false" customHeight="false" outlineLevel="0" collapsed="false">
      <c r="A79" s="10" t="s">
        <v>494</v>
      </c>
      <c r="B79" s="11" t="s">
        <v>495</v>
      </c>
      <c r="C79" s="10" t="s">
        <v>348</v>
      </c>
      <c r="D79" s="10" t="s">
        <v>496</v>
      </c>
      <c r="E79" s="17" t="s">
        <v>252</v>
      </c>
      <c r="F79" s="10" t="s">
        <v>200</v>
      </c>
      <c r="G79" s="13" t="s">
        <v>497</v>
      </c>
      <c r="H79" s="10" t="s">
        <v>498</v>
      </c>
      <c r="I79" s="10" t="n">
        <v>2025</v>
      </c>
      <c r="J79" s="10" t="s">
        <v>203</v>
      </c>
      <c r="K79" s="10" t="s">
        <v>350</v>
      </c>
      <c r="L79" s="10" t="s">
        <v>351</v>
      </c>
      <c r="M79" s="10" t="s">
        <v>352</v>
      </c>
      <c r="N79" s="14" t="n">
        <f aca="false">INDEX(Settings!$B$4:$B$10,MATCH(M79,Settings!$A$4:$A$10,0))</f>
        <v>1500</v>
      </c>
      <c r="O79" s="15" t="n">
        <f aca="false">IF(E79="A",IF(I79&gt;=2022,Settings!$B$13,Settings!$B$14),IF(E79="B",Settings!$B$15,Settings!$B$16))+IF(F79="S",Settings!$B$17,0)</f>
        <v>0.12</v>
      </c>
      <c r="P79" s="14" t="n">
        <f aca="false">N79*O79</f>
        <v>180</v>
      </c>
      <c r="Q79" s="16" t="n">
        <f aca="false">P79*INDEX(Settings!$B$20:$B$22,MATCH(F79,Settings!$A$20:$A$22,0))</f>
        <v>180</v>
      </c>
      <c r="R79" s="10" t="s">
        <v>20</v>
      </c>
      <c r="S79" s="10" t="s">
        <v>424</v>
      </c>
      <c r="T79" s="10" t="s">
        <v>499</v>
      </c>
      <c r="U79" s="10" t="s">
        <v>61</v>
      </c>
      <c r="V79" s="10" t="s">
        <v>500</v>
      </c>
    </row>
    <row r="80" customFormat="false" ht="57.45" hidden="false" customHeight="false" outlineLevel="0" collapsed="false">
      <c r="A80" s="10" t="s">
        <v>501</v>
      </c>
      <c r="B80" s="11" t="s">
        <v>502</v>
      </c>
      <c r="C80" s="10" t="s">
        <v>348</v>
      </c>
      <c r="D80" s="10" t="s">
        <v>496</v>
      </c>
      <c r="E80" s="17" t="s">
        <v>252</v>
      </c>
      <c r="F80" s="10" t="s">
        <v>200</v>
      </c>
      <c r="G80" s="13" t="s">
        <v>503</v>
      </c>
      <c r="H80" s="10" t="s">
        <v>504</v>
      </c>
      <c r="I80" s="10" t="n">
        <v>2023</v>
      </c>
      <c r="J80" s="10" t="s">
        <v>203</v>
      </c>
      <c r="K80" s="10" t="s">
        <v>350</v>
      </c>
      <c r="L80" s="10" t="s">
        <v>351</v>
      </c>
      <c r="M80" s="10" t="s">
        <v>352</v>
      </c>
      <c r="N80" s="14" t="n">
        <f aca="false">INDEX(Settings!$B$4:$B$10,MATCH(M80,Settings!$A$4:$A$10,0))</f>
        <v>1500</v>
      </c>
      <c r="O80" s="15" t="n">
        <f aca="false">IF(E80="A",IF(I80&gt;=2022,Settings!$B$13,Settings!$B$14),IF(E80="B",Settings!$B$15,Settings!$B$16))+IF(F80="S",Settings!$B$17,0)</f>
        <v>0.12</v>
      </c>
      <c r="P80" s="14" t="n">
        <f aca="false">N80*O80</f>
        <v>180</v>
      </c>
      <c r="Q80" s="16" t="n">
        <f aca="false">P80*INDEX(Settings!$B$20:$B$22,MATCH(F80,Settings!$A$20:$A$22,0))</f>
        <v>180</v>
      </c>
      <c r="R80" s="10" t="s">
        <v>20</v>
      </c>
      <c r="S80" s="10" t="s">
        <v>424</v>
      </c>
      <c r="T80" s="10" t="s">
        <v>499</v>
      </c>
      <c r="U80" s="10" t="s">
        <v>61</v>
      </c>
      <c r="V80" s="10" t="s">
        <v>500</v>
      </c>
    </row>
    <row r="81" customFormat="false" ht="46.25" hidden="false" customHeight="false" outlineLevel="0" collapsed="false">
      <c r="A81" s="10" t="s">
        <v>505</v>
      </c>
      <c r="B81" s="11" t="s">
        <v>506</v>
      </c>
      <c r="C81" s="10" t="s">
        <v>348</v>
      </c>
      <c r="D81" s="10" t="s">
        <v>496</v>
      </c>
      <c r="E81" s="17" t="s">
        <v>252</v>
      </c>
      <c r="F81" s="10" t="s">
        <v>200</v>
      </c>
      <c r="G81" s="13" t="s">
        <v>507</v>
      </c>
      <c r="H81" s="10" t="s">
        <v>508</v>
      </c>
      <c r="I81" s="10" t="n">
        <v>2026</v>
      </c>
      <c r="J81" s="10" t="s">
        <v>203</v>
      </c>
      <c r="K81" s="10" t="s">
        <v>350</v>
      </c>
      <c r="L81" s="10" t="s">
        <v>351</v>
      </c>
      <c r="M81" s="10" t="s">
        <v>352</v>
      </c>
      <c r="N81" s="14" t="n">
        <f aca="false">INDEX(Settings!$B$4:$B$10,MATCH(M81,Settings!$A$4:$A$10,0))</f>
        <v>1500</v>
      </c>
      <c r="O81" s="15" t="n">
        <f aca="false">IF(E81="A",IF(I81&gt;=2022,Settings!$B$13,Settings!$B$14),IF(E81="B",Settings!$B$15,Settings!$B$16))+IF(F81="S",Settings!$B$17,0)</f>
        <v>0.12</v>
      </c>
      <c r="P81" s="14" t="n">
        <f aca="false">N81*O81</f>
        <v>180</v>
      </c>
      <c r="Q81" s="16" t="n">
        <f aca="false">P81*INDEX(Settings!$B$20:$B$22,MATCH(F81,Settings!$A$20:$A$22,0))</f>
        <v>180</v>
      </c>
      <c r="R81" s="10" t="s">
        <v>20</v>
      </c>
      <c r="S81" s="10" t="s">
        <v>424</v>
      </c>
      <c r="T81" s="10" t="s">
        <v>499</v>
      </c>
      <c r="U81" s="10" t="s">
        <v>61</v>
      </c>
      <c r="V81" s="10" t="s">
        <v>500</v>
      </c>
    </row>
    <row r="82" customFormat="false" ht="23.85" hidden="false" customHeight="false" outlineLevel="0" collapsed="false">
      <c r="A82" s="10" t="s">
        <v>509</v>
      </c>
      <c r="B82" s="11" t="s">
        <v>510</v>
      </c>
      <c r="C82" s="10" t="s">
        <v>241</v>
      </c>
      <c r="D82" s="10" t="s">
        <v>272</v>
      </c>
      <c r="E82" s="12" t="s">
        <v>51</v>
      </c>
      <c r="F82" s="10" t="s">
        <v>52</v>
      </c>
      <c r="G82" s="13" t="s">
        <v>267</v>
      </c>
      <c r="H82" s="10" t="s">
        <v>268</v>
      </c>
      <c r="I82" s="10" t="n">
        <v>2015</v>
      </c>
      <c r="J82" s="10" t="s">
        <v>203</v>
      </c>
      <c r="K82" s="10" t="s">
        <v>228</v>
      </c>
      <c r="L82" s="10" t="s">
        <v>511</v>
      </c>
      <c r="M82" s="10" t="s">
        <v>222</v>
      </c>
      <c r="N82" s="14" t="n">
        <f aca="false">INDEX(Settings!$B$4:$B$10,MATCH(M82,Settings!$A$4:$A$10,0))</f>
        <v>1800</v>
      </c>
      <c r="O82" s="15" t="n">
        <f aca="false">IF(E82="A",IF(I82&gt;=2022,Settings!$B$13,Settings!$B$14),IF(E82="B",Settings!$B$15,Settings!$B$16))+IF(F82="S",Settings!$B$17,0)</f>
        <v>0.15</v>
      </c>
      <c r="P82" s="14" t="n">
        <f aca="false">N82*O82</f>
        <v>270</v>
      </c>
      <c r="Q82" s="16" t="n">
        <f aca="false">P82*INDEX(Settings!$B$20:$B$22,MATCH(F82,Settings!$A$20:$A$22,0))</f>
        <v>162</v>
      </c>
      <c r="R82" s="10" t="s">
        <v>20</v>
      </c>
      <c r="S82" s="10" t="s">
        <v>424</v>
      </c>
      <c r="T82" s="10" t="s">
        <v>425</v>
      </c>
      <c r="U82" s="10" t="s">
        <v>61</v>
      </c>
      <c r="V82" s="10" t="s">
        <v>62</v>
      </c>
    </row>
    <row r="83" customFormat="false" ht="23.85" hidden="false" customHeight="false" outlineLevel="0" collapsed="false">
      <c r="A83" s="10" t="s">
        <v>512</v>
      </c>
      <c r="B83" s="11" t="s">
        <v>513</v>
      </c>
      <c r="C83" s="10" t="s">
        <v>514</v>
      </c>
      <c r="D83" s="10" t="s">
        <v>13</v>
      </c>
      <c r="E83" s="12" t="s">
        <v>51</v>
      </c>
      <c r="F83" s="10" t="s">
        <v>217</v>
      </c>
      <c r="G83" s="13" t="s">
        <v>267</v>
      </c>
      <c r="H83" s="10" t="s">
        <v>268</v>
      </c>
      <c r="I83" s="10" t="n">
        <v>2015</v>
      </c>
      <c r="J83" s="10" t="s">
        <v>203</v>
      </c>
      <c r="K83" s="10" t="s">
        <v>220</v>
      </c>
      <c r="L83" s="10" t="s">
        <v>221</v>
      </c>
      <c r="M83" s="10" t="s">
        <v>406</v>
      </c>
      <c r="N83" s="14" t="n">
        <f aca="false">INDEX(Settings!$B$4:$B$10,MATCH(M83,Settings!$A$4:$A$10,0))</f>
        <v>540</v>
      </c>
      <c r="O83" s="15" t="n">
        <f aca="false">IF(E83="A",IF(I83&gt;=2022,Settings!$B$13,Settings!$B$14),IF(E83="B",Settings!$B$15,Settings!$B$16))+IF(F83="S",Settings!$B$17,0)</f>
        <v>0.2</v>
      </c>
      <c r="P83" s="14" t="n">
        <f aca="false">N83*O83</f>
        <v>108</v>
      </c>
      <c r="Q83" s="16" t="n">
        <f aca="false">P83*INDEX(Settings!$B$20:$B$22,MATCH(F83,Settings!$A$20:$A$22,0))</f>
        <v>162</v>
      </c>
      <c r="R83" s="10" t="s">
        <v>20</v>
      </c>
      <c r="S83" s="10" t="s">
        <v>424</v>
      </c>
      <c r="T83" s="10" t="s">
        <v>499</v>
      </c>
      <c r="U83" s="10" t="s">
        <v>61</v>
      </c>
      <c r="V83" s="10" t="s">
        <v>62</v>
      </c>
    </row>
    <row r="84" customFormat="false" ht="23.85" hidden="false" customHeight="false" outlineLevel="0" collapsed="false">
      <c r="A84" s="10" t="s">
        <v>515</v>
      </c>
      <c r="B84" s="11" t="s">
        <v>516</v>
      </c>
      <c r="C84" s="10" t="s">
        <v>241</v>
      </c>
      <c r="D84" s="10" t="s">
        <v>13</v>
      </c>
      <c r="E84" s="12" t="s">
        <v>51</v>
      </c>
      <c r="F84" s="10" t="s">
        <v>52</v>
      </c>
      <c r="G84" s="13" t="s">
        <v>267</v>
      </c>
      <c r="H84" s="10" t="s">
        <v>268</v>
      </c>
      <c r="I84" s="10" t="n">
        <v>2015</v>
      </c>
      <c r="J84" s="10" t="s">
        <v>203</v>
      </c>
      <c r="K84" s="10" t="s">
        <v>228</v>
      </c>
      <c r="L84" s="10" t="s">
        <v>517</v>
      </c>
      <c r="M84" s="10" t="s">
        <v>222</v>
      </c>
      <c r="N84" s="14" t="n">
        <f aca="false">INDEX(Settings!$B$4:$B$10,MATCH(M84,Settings!$A$4:$A$10,0))</f>
        <v>1800</v>
      </c>
      <c r="O84" s="15" t="n">
        <f aca="false">IF(E84="A",IF(I84&gt;=2022,Settings!$B$13,Settings!$B$14),IF(E84="B",Settings!$B$15,Settings!$B$16))+IF(F84="S",Settings!$B$17,0)</f>
        <v>0.15</v>
      </c>
      <c r="P84" s="14" t="n">
        <f aca="false">N84*O84</f>
        <v>270</v>
      </c>
      <c r="Q84" s="16" t="n">
        <f aca="false">P84*INDEX(Settings!$B$20:$B$22,MATCH(F84,Settings!$A$20:$A$22,0))</f>
        <v>162</v>
      </c>
      <c r="R84" s="10" t="s">
        <v>20</v>
      </c>
      <c r="S84" s="10" t="s">
        <v>424</v>
      </c>
      <c r="T84" s="10" t="s">
        <v>499</v>
      </c>
      <c r="U84" s="10" t="s">
        <v>61</v>
      </c>
      <c r="V84" s="10" t="s">
        <v>62</v>
      </c>
    </row>
    <row r="85" customFormat="false" ht="23.85" hidden="false" customHeight="false" outlineLevel="0" collapsed="false">
      <c r="A85" s="10" t="s">
        <v>518</v>
      </c>
      <c r="B85" s="11" t="s">
        <v>519</v>
      </c>
      <c r="C85" s="10" t="s">
        <v>520</v>
      </c>
      <c r="D85" s="10" t="s">
        <v>13</v>
      </c>
      <c r="E85" s="12" t="s">
        <v>51</v>
      </c>
      <c r="F85" s="10" t="s">
        <v>217</v>
      </c>
      <c r="G85" s="13" t="s">
        <v>267</v>
      </c>
      <c r="H85" s="10" t="s">
        <v>521</v>
      </c>
      <c r="I85" s="10" t="n">
        <v>2015</v>
      </c>
      <c r="J85" s="10" t="s">
        <v>203</v>
      </c>
      <c r="K85" s="10" t="s">
        <v>220</v>
      </c>
      <c r="L85" s="10" t="s">
        <v>221</v>
      </c>
      <c r="M85" s="10" t="s">
        <v>406</v>
      </c>
      <c r="N85" s="14" t="n">
        <f aca="false">INDEX(Settings!$B$4:$B$10,MATCH(M85,Settings!$A$4:$A$10,0))</f>
        <v>540</v>
      </c>
      <c r="O85" s="15" t="n">
        <f aca="false">IF(E85="A",IF(I85&gt;=2022,Settings!$B$13,Settings!$B$14),IF(E85="B",Settings!$B$15,Settings!$B$16))+IF(F85="S",Settings!$B$17,0)</f>
        <v>0.2</v>
      </c>
      <c r="P85" s="14" t="n">
        <f aca="false">N85*O85</f>
        <v>108</v>
      </c>
      <c r="Q85" s="16" t="n">
        <f aca="false">P85*INDEX(Settings!$B$20:$B$22,MATCH(F85,Settings!$A$20:$A$22,0))</f>
        <v>162</v>
      </c>
      <c r="R85" s="10" t="s">
        <v>20</v>
      </c>
      <c r="S85" s="10" t="s">
        <v>424</v>
      </c>
      <c r="T85" s="10" t="s">
        <v>499</v>
      </c>
      <c r="U85" s="10" t="s">
        <v>61</v>
      </c>
      <c r="V85" s="10" t="s">
        <v>62</v>
      </c>
    </row>
    <row r="86" customFormat="false" ht="23.85" hidden="false" customHeight="false" outlineLevel="0" collapsed="false">
      <c r="A86" s="10" t="s">
        <v>522</v>
      </c>
      <c r="B86" s="11" t="s">
        <v>523</v>
      </c>
      <c r="C86" s="10" t="s">
        <v>524</v>
      </c>
      <c r="D86" s="10" t="s">
        <v>13</v>
      </c>
      <c r="E86" s="17" t="s">
        <v>252</v>
      </c>
      <c r="F86" s="10" t="s">
        <v>217</v>
      </c>
      <c r="G86" s="13" t="s">
        <v>525</v>
      </c>
      <c r="H86" s="10" t="s">
        <v>526</v>
      </c>
      <c r="I86" s="10" t="n">
        <v>2026</v>
      </c>
      <c r="J86" s="10" t="s">
        <v>255</v>
      </c>
      <c r="K86" s="10" t="s">
        <v>220</v>
      </c>
      <c r="L86" s="10" t="s">
        <v>221</v>
      </c>
      <c r="M86" s="10" t="s">
        <v>406</v>
      </c>
      <c r="N86" s="14" t="n">
        <f aca="false">INDEX(Settings!$B$4:$B$10,MATCH(M86,Settings!$A$4:$A$10,0))</f>
        <v>540</v>
      </c>
      <c r="O86" s="15" t="n">
        <f aca="false">IF(E86="A",IF(I86&gt;=2022,Settings!$B$13,Settings!$B$14),IF(E86="B",Settings!$B$15,Settings!$B$16))+IF(F86="S",Settings!$B$17,0)</f>
        <v>0.17</v>
      </c>
      <c r="P86" s="14" t="n">
        <f aca="false">N86*O86</f>
        <v>91.8</v>
      </c>
      <c r="Q86" s="16" t="n">
        <f aca="false">P86*INDEX(Settings!$B$20:$B$22,MATCH(F86,Settings!$A$20:$A$22,0))</f>
        <v>137.7</v>
      </c>
      <c r="R86" s="10" t="s">
        <v>20</v>
      </c>
      <c r="S86" s="10" t="s">
        <v>424</v>
      </c>
      <c r="T86" s="10" t="s">
        <v>499</v>
      </c>
      <c r="U86" s="10" t="s">
        <v>61</v>
      </c>
      <c r="V86" s="10" t="s">
        <v>62</v>
      </c>
    </row>
    <row r="87" customFormat="false" ht="23.85" hidden="false" customHeight="false" outlineLevel="0" collapsed="false">
      <c r="A87" s="10" t="s">
        <v>527</v>
      </c>
      <c r="B87" s="11" t="s">
        <v>528</v>
      </c>
      <c r="C87" s="10" t="s">
        <v>529</v>
      </c>
      <c r="D87" s="10" t="s">
        <v>15</v>
      </c>
      <c r="E87" s="17" t="s">
        <v>252</v>
      </c>
      <c r="F87" s="10" t="s">
        <v>217</v>
      </c>
      <c r="G87" s="13" t="s">
        <v>530</v>
      </c>
      <c r="H87" s="10" t="s">
        <v>531</v>
      </c>
      <c r="I87" s="10" t="n">
        <v>2026</v>
      </c>
      <c r="J87" s="10" t="s">
        <v>255</v>
      </c>
      <c r="K87" s="10" t="s">
        <v>220</v>
      </c>
      <c r="L87" s="10" t="s">
        <v>221</v>
      </c>
      <c r="M87" s="10" t="s">
        <v>406</v>
      </c>
      <c r="N87" s="14" t="n">
        <f aca="false">INDEX(Settings!$B$4:$B$10,MATCH(M87,Settings!$A$4:$A$10,0))</f>
        <v>540</v>
      </c>
      <c r="O87" s="15" t="n">
        <f aca="false">IF(E87="A",IF(I87&gt;=2022,Settings!$B$13,Settings!$B$14),IF(E87="B",Settings!$B$15,Settings!$B$16))+IF(F87="S",Settings!$B$17,0)</f>
        <v>0.17</v>
      </c>
      <c r="P87" s="14" t="n">
        <f aca="false">N87*O87</f>
        <v>91.8</v>
      </c>
      <c r="Q87" s="16" t="n">
        <f aca="false">P87*INDEX(Settings!$B$20:$B$22,MATCH(F87,Settings!$A$20:$A$22,0))</f>
        <v>137.7</v>
      </c>
      <c r="R87" s="10" t="s">
        <v>20</v>
      </c>
      <c r="S87" s="10" t="s">
        <v>424</v>
      </c>
      <c r="T87" s="10" t="s">
        <v>499</v>
      </c>
      <c r="U87" s="10" t="s">
        <v>61</v>
      </c>
      <c r="V87" s="10" t="s">
        <v>62</v>
      </c>
    </row>
    <row r="88" customFormat="false" ht="23.85" hidden="false" customHeight="false" outlineLevel="0" collapsed="false">
      <c r="A88" s="10" t="s">
        <v>532</v>
      </c>
      <c r="B88" s="11" t="s">
        <v>533</v>
      </c>
      <c r="C88" s="10" t="s">
        <v>534</v>
      </c>
      <c r="D88" s="10" t="s">
        <v>15</v>
      </c>
      <c r="E88" s="17" t="s">
        <v>252</v>
      </c>
      <c r="F88" s="10" t="s">
        <v>217</v>
      </c>
      <c r="G88" s="13" t="s">
        <v>331</v>
      </c>
      <c r="H88" s="10" t="s">
        <v>535</v>
      </c>
      <c r="I88" s="10" t="n">
        <v>2026</v>
      </c>
      <c r="J88" s="10" t="s">
        <v>203</v>
      </c>
      <c r="K88" s="10" t="s">
        <v>220</v>
      </c>
      <c r="L88" s="10" t="s">
        <v>221</v>
      </c>
      <c r="M88" s="10" t="s">
        <v>406</v>
      </c>
      <c r="N88" s="14" t="n">
        <f aca="false">INDEX(Settings!$B$4:$B$10,MATCH(M88,Settings!$A$4:$A$10,0))</f>
        <v>540</v>
      </c>
      <c r="O88" s="15" t="n">
        <f aca="false">IF(E88="A",IF(I88&gt;=2022,Settings!$B$13,Settings!$B$14),IF(E88="B",Settings!$B$15,Settings!$B$16))+IF(F88="S",Settings!$B$17,0)</f>
        <v>0.17</v>
      </c>
      <c r="P88" s="14" t="n">
        <f aca="false">N88*O88</f>
        <v>91.8</v>
      </c>
      <c r="Q88" s="16" t="n">
        <f aca="false">P88*INDEX(Settings!$B$20:$B$22,MATCH(F88,Settings!$A$20:$A$22,0))</f>
        <v>137.7</v>
      </c>
      <c r="R88" s="10" t="s">
        <v>20</v>
      </c>
      <c r="S88" s="10" t="s">
        <v>424</v>
      </c>
      <c r="T88" s="10" t="s">
        <v>499</v>
      </c>
      <c r="U88" s="10" t="s">
        <v>61</v>
      </c>
      <c r="V88" s="10" t="s">
        <v>62</v>
      </c>
    </row>
    <row r="89" customFormat="false" ht="23.85" hidden="false" customHeight="false" outlineLevel="0" collapsed="false">
      <c r="A89" s="10" t="s">
        <v>536</v>
      </c>
      <c r="B89" s="11" t="s">
        <v>454</v>
      </c>
      <c r="C89" s="10" t="s">
        <v>537</v>
      </c>
      <c r="D89" s="10" t="s">
        <v>12</v>
      </c>
      <c r="E89" s="17" t="s">
        <v>252</v>
      </c>
      <c r="F89" s="10" t="s">
        <v>217</v>
      </c>
      <c r="G89" s="13" t="s">
        <v>538</v>
      </c>
      <c r="H89" s="10" t="s">
        <v>539</v>
      </c>
      <c r="I89" s="10" t="n">
        <v>2026</v>
      </c>
      <c r="J89" s="10" t="s">
        <v>203</v>
      </c>
      <c r="K89" s="10" t="s">
        <v>220</v>
      </c>
      <c r="L89" s="10" t="s">
        <v>221</v>
      </c>
      <c r="M89" s="10" t="s">
        <v>406</v>
      </c>
      <c r="N89" s="14" t="n">
        <f aca="false">INDEX(Settings!$B$4:$B$10,MATCH(M89,Settings!$A$4:$A$10,0))</f>
        <v>540</v>
      </c>
      <c r="O89" s="15" t="n">
        <f aca="false">IF(E89="A",IF(I89&gt;=2022,Settings!$B$13,Settings!$B$14),IF(E89="B",Settings!$B$15,Settings!$B$16))+IF(F89="S",Settings!$B$17,0)</f>
        <v>0.17</v>
      </c>
      <c r="P89" s="14" t="n">
        <f aca="false">N89*O89</f>
        <v>91.8</v>
      </c>
      <c r="Q89" s="16" t="n">
        <f aca="false">P89*INDEX(Settings!$B$20:$B$22,MATCH(F89,Settings!$A$20:$A$22,0))</f>
        <v>137.7</v>
      </c>
      <c r="R89" s="10" t="s">
        <v>20</v>
      </c>
      <c r="S89" s="10" t="s">
        <v>424</v>
      </c>
      <c r="T89" s="10" t="s">
        <v>499</v>
      </c>
      <c r="U89" s="10" t="s">
        <v>61</v>
      </c>
      <c r="V89" s="10" t="s">
        <v>62</v>
      </c>
    </row>
    <row r="90" customFormat="false" ht="23.85" hidden="false" customHeight="false" outlineLevel="0" collapsed="false">
      <c r="A90" s="10" t="s">
        <v>540</v>
      </c>
      <c r="B90" s="11" t="s">
        <v>541</v>
      </c>
      <c r="C90" s="10" t="s">
        <v>542</v>
      </c>
      <c r="D90" s="10" t="s">
        <v>12</v>
      </c>
      <c r="E90" s="17" t="s">
        <v>252</v>
      </c>
      <c r="F90" s="10" t="s">
        <v>217</v>
      </c>
      <c r="G90" s="13" t="s">
        <v>310</v>
      </c>
      <c r="H90" s="10" t="s">
        <v>543</v>
      </c>
      <c r="I90" s="10" t="n">
        <v>2026</v>
      </c>
      <c r="J90" s="10" t="s">
        <v>203</v>
      </c>
      <c r="K90" s="10" t="s">
        <v>220</v>
      </c>
      <c r="L90" s="10" t="s">
        <v>221</v>
      </c>
      <c r="M90" s="10" t="s">
        <v>406</v>
      </c>
      <c r="N90" s="14" t="n">
        <f aca="false">INDEX(Settings!$B$4:$B$10,MATCH(M90,Settings!$A$4:$A$10,0))</f>
        <v>540</v>
      </c>
      <c r="O90" s="15" t="n">
        <f aca="false">IF(E90="A",IF(I90&gt;=2022,Settings!$B$13,Settings!$B$14),IF(E90="B",Settings!$B$15,Settings!$B$16))+IF(F90="S",Settings!$B$17,0)</f>
        <v>0.17</v>
      </c>
      <c r="P90" s="14" t="n">
        <f aca="false">N90*O90</f>
        <v>91.8</v>
      </c>
      <c r="Q90" s="16" t="n">
        <f aca="false">P90*INDEX(Settings!$B$20:$B$22,MATCH(F90,Settings!$A$20:$A$22,0))</f>
        <v>137.7</v>
      </c>
      <c r="R90" s="10" t="s">
        <v>20</v>
      </c>
      <c r="S90" s="10" t="s">
        <v>424</v>
      </c>
      <c r="T90" s="10" t="s">
        <v>499</v>
      </c>
      <c r="U90" s="10" t="s">
        <v>61</v>
      </c>
      <c r="V90" s="10" t="s">
        <v>62</v>
      </c>
    </row>
    <row r="91" customFormat="false" ht="23.85" hidden="false" customHeight="false" outlineLevel="0" collapsed="false">
      <c r="A91" s="10" t="s">
        <v>544</v>
      </c>
      <c r="B91" s="11" t="s">
        <v>545</v>
      </c>
      <c r="C91" s="10" t="s">
        <v>546</v>
      </c>
      <c r="D91" s="10" t="s">
        <v>12</v>
      </c>
      <c r="E91" s="17" t="s">
        <v>252</v>
      </c>
      <c r="F91" s="10" t="s">
        <v>217</v>
      </c>
      <c r="G91" s="13" t="s">
        <v>310</v>
      </c>
      <c r="H91" s="10" t="s">
        <v>547</v>
      </c>
      <c r="I91" s="10" t="n">
        <v>2026</v>
      </c>
      <c r="J91" s="10" t="s">
        <v>203</v>
      </c>
      <c r="K91" s="10" t="s">
        <v>220</v>
      </c>
      <c r="L91" s="10" t="s">
        <v>221</v>
      </c>
      <c r="M91" s="10" t="s">
        <v>406</v>
      </c>
      <c r="N91" s="14" t="n">
        <f aca="false">INDEX(Settings!$B$4:$B$10,MATCH(M91,Settings!$A$4:$A$10,0))</f>
        <v>540</v>
      </c>
      <c r="O91" s="15" t="n">
        <f aca="false">IF(E91="A",IF(I91&gt;=2022,Settings!$B$13,Settings!$B$14),IF(E91="B",Settings!$B$15,Settings!$B$16))+IF(F91="S",Settings!$B$17,0)</f>
        <v>0.17</v>
      </c>
      <c r="P91" s="14" t="n">
        <f aca="false">N91*O91</f>
        <v>91.8</v>
      </c>
      <c r="Q91" s="16" t="n">
        <f aca="false">P91*INDEX(Settings!$B$20:$B$22,MATCH(F91,Settings!$A$20:$A$22,0))</f>
        <v>137.7</v>
      </c>
      <c r="R91" s="10" t="s">
        <v>20</v>
      </c>
      <c r="S91" s="10" t="s">
        <v>424</v>
      </c>
      <c r="T91" s="10" t="s">
        <v>499</v>
      </c>
      <c r="U91" s="10" t="s">
        <v>61</v>
      </c>
      <c r="V91" s="10" t="s">
        <v>62</v>
      </c>
    </row>
    <row r="92" customFormat="false" ht="23.85" hidden="false" customHeight="false" outlineLevel="0" collapsed="false">
      <c r="A92" s="10" t="s">
        <v>548</v>
      </c>
      <c r="B92" s="11" t="s">
        <v>549</v>
      </c>
      <c r="C92" s="10" t="s">
        <v>550</v>
      </c>
      <c r="D92" s="10" t="s">
        <v>13</v>
      </c>
      <c r="E92" s="17" t="s">
        <v>252</v>
      </c>
      <c r="F92" s="10" t="s">
        <v>52</v>
      </c>
      <c r="G92" s="13" t="s">
        <v>551</v>
      </c>
      <c r="H92" s="10" t="s">
        <v>552</v>
      </c>
      <c r="I92" s="10" t="n">
        <v>2025</v>
      </c>
      <c r="J92" s="10" t="s">
        <v>255</v>
      </c>
      <c r="K92" s="10" t="s">
        <v>220</v>
      </c>
      <c r="L92" s="10" t="s">
        <v>344</v>
      </c>
      <c r="M92" s="10" t="s">
        <v>222</v>
      </c>
      <c r="N92" s="14" t="n">
        <f aca="false">INDEX(Settings!$B$4:$B$10,MATCH(M92,Settings!$A$4:$A$10,0))</f>
        <v>1800</v>
      </c>
      <c r="O92" s="15" t="n">
        <f aca="false">IF(E92="A",IF(I92&gt;=2022,Settings!$B$13,Settings!$B$14),IF(E92="B",Settings!$B$15,Settings!$B$16))+IF(F92="S",Settings!$B$17,0)</f>
        <v>0.12</v>
      </c>
      <c r="P92" s="14" t="n">
        <f aca="false">N92*O92</f>
        <v>216</v>
      </c>
      <c r="Q92" s="16" t="n">
        <f aca="false">P92*INDEX(Settings!$B$20:$B$22,MATCH(F92,Settings!$A$20:$A$22,0))</f>
        <v>129.6</v>
      </c>
      <c r="R92" s="10" t="s">
        <v>20</v>
      </c>
      <c r="S92" s="10" t="s">
        <v>424</v>
      </c>
      <c r="T92" s="10" t="s">
        <v>499</v>
      </c>
      <c r="U92" s="10" t="s">
        <v>61</v>
      </c>
      <c r="V92" s="10" t="s">
        <v>62</v>
      </c>
    </row>
    <row r="93" customFormat="false" ht="23.85" hidden="false" customHeight="false" outlineLevel="0" collapsed="false">
      <c r="A93" s="10" t="s">
        <v>553</v>
      </c>
      <c r="B93" s="11" t="s">
        <v>554</v>
      </c>
      <c r="C93" s="10" t="s">
        <v>199</v>
      </c>
      <c r="D93" s="10" t="s">
        <v>15</v>
      </c>
      <c r="E93" s="17" t="s">
        <v>252</v>
      </c>
      <c r="F93" s="10" t="s">
        <v>52</v>
      </c>
      <c r="G93" s="13" t="s">
        <v>409</v>
      </c>
      <c r="H93" s="10" t="s">
        <v>410</v>
      </c>
      <c r="I93" s="10" t="n">
        <v>2026</v>
      </c>
      <c r="J93" s="10" t="s">
        <v>203</v>
      </c>
      <c r="K93" s="10" t="s">
        <v>204</v>
      </c>
      <c r="L93" s="10" t="s">
        <v>344</v>
      </c>
      <c r="M93" s="10" t="s">
        <v>222</v>
      </c>
      <c r="N93" s="14" t="n">
        <f aca="false">INDEX(Settings!$B$4:$B$10,MATCH(M93,Settings!$A$4:$A$10,0))</f>
        <v>1800</v>
      </c>
      <c r="O93" s="15" t="n">
        <f aca="false">IF(E93="A",IF(I93&gt;=2022,Settings!$B$13,Settings!$B$14),IF(E93="B",Settings!$B$15,Settings!$B$16))+IF(F93="S",Settings!$B$17,0)</f>
        <v>0.12</v>
      </c>
      <c r="P93" s="14" t="n">
        <f aca="false">N93*O93</f>
        <v>216</v>
      </c>
      <c r="Q93" s="16" t="n">
        <f aca="false">P93*INDEX(Settings!$B$20:$B$22,MATCH(F93,Settings!$A$20:$A$22,0))</f>
        <v>129.6</v>
      </c>
      <c r="R93" s="10" t="s">
        <v>20</v>
      </c>
      <c r="S93" s="10" t="s">
        <v>424</v>
      </c>
      <c r="T93" s="10" t="s">
        <v>555</v>
      </c>
      <c r="U93" s="10" t="s">
        <v>61</v>
      </c>
      <c r="V93" s="10" t="s">
        <v>62</v>
      </c>
    </row>
    <row r="94" customFormat="false" ht="23.85" hidden="false" customHeight="false" outlineLevel="0" collapsed="false">
      <c r="A94" s="10" t="s">
        <v>556</v>
      </c>
      <c r="B94" s="11" t="s">
        <v>557</v>
      </c>
      <c r="C94" s="10" t="s">
        <v>558</v>
      </c>
      <c r="D94" s="10" t="s">
        <v>337</v>
      </c>
      <c r="E94" s="17" t="s">
        <v>252</v>
      </c>
      <c r="F94" s="10" t="s">
        <v>52</v>
      </c>
      <c r="G94" s="13" t="s">
        <v>559</v>
      </c>
      <c r="H94" s="10" t="s">
        <v>560</v>
      </c>
      <c r="I94" s="10" t="n">
        <v>2026</v>
      </c>
      <c r="J94" s="10" t="s">
        <v>255</v>
      </c>
      <c r="K94" s="10" t="s">
        <v>264</v>
      </c>
      <c r="L94" s="10" t="s">
        <v>344</v>
      </c>
      <c r="M94" s="10" t="s">
        <v>222</v>
      </c>
      <c r="N94" s="14" t="n">
        <f aca="false">INDEX(Settings!$B$4:$B$10,MATCH(M94,Settings!$A$4:$A$10,0))</f>
        <v>1800</v>
      </c>
      <c r="O94" s="15" t="n">
        <f aca="false">IF(E94="A",IF(I94&gt;=2022,Settings!$B$13,Settings!$B$14),IF(E94="B",Settings!$B$15,Settings!$B$16))+IF(F94="S",Settings!$B$17,0)</f>
        <v>0.12</v>
      </c>
      <c r="P94" s="14" t="n">
        <f aca="false">N94*O94</f>
        <v>216</v>
      </c>
      <c r="Q94" s="16" t="n">
        <f aca="false">P94*INDEX(Settings!$B$20:$B$22,MATCH(F94,Settings!$A$20:$A$22,0))</f>
        <v>129.6</v>
      </c>
      <c r="R94" s="10" t="s">
        <v>20</v>
      </c>
      <c r="S94" s="10" t="s">
        <v>424</v>
      </c>
      <c r="T94" s="10" t="s">
        <v>555</v>
      </c>
      <c r="U94" s="10" t="s">
        <v>61</v>
      </c>
      <c r="V94" s="10" t="s">
        <v>62</v>
      </c>
    </row>
    <row r="95" customFormat="false" ht="23.85" hidden="false" customHeight="false" outlineLevel="0" collapsed="false">
      <c r="A95" s="10" t="s">
        <v>561</v>
      </c>
      <c r="B95" s="11" t="s">
        <v>562</v>
      </c>
      <c r="C95" s="10" t="s">
        <v>199</v>
      </c>
      <c r="D95" s="10" t="s">
        <v>245</v>
      </c>
      <c r="E95" s="17" t="s">
        <v>252</v>
      </c>
      <c r="F95" s="10" t="s">
        <v>52</v>
      </c>
      <c r="G95" s="13" t="s">
        <v>563</v>
      </c>
      <c r="H95" s="10" t="s">
        <v>564</v>
      </c>
      <c r="I95" s="10" t="n">
        <v>2026</v>
      </c>
      <c r="J95" s="10" t="s">
        <v>255</v>
      </c>
      <c r="K95" s="10" t="s">
        <v>204</v>
      </c>
      <c r="L95" s="10" t="s">
        <v>344</v>
      </c>
      <c r="M95" s="10" t="s">
        <v>222</v>
      </c>
      <c r="N95" s="14" t="n">
        <f aca="false">INDEX(Settings!$B$4:$B$10,MATCH(M95,Settings!$A$4:$A$10,0))</f>
        <v>1800</v>
      </c>
      <c r="O95" s="15" t="n">
        <f aca="false">IF(E95="A",IF(I95&gt;=2022,Settings!$B$13,Settings!$B$14),IF(E95="B",Settings!$B$15,Settings!$B$16))+IF(F95="S",Settings!$B$17,0)</f>
        <v>0.12</v>
      </c>
      <c r="P95" s="14" t="n">
        <f aca="false">N95*O95</f>
        <v>216</v>
      </c>
      <c r="Q95" s="16" t="n">
        <f aca="false">P95*INDEX(Settings!$B$20:$B$22,MATCH(F95,Settings!$A$20:$A$22,0))</f>
        <v>129.6</v>
      </c>
      <c r="R95" s="10" t="s">
        <v>20</v>
      </c>
      <c r="S95" s="10" t="s">
        <v>424</v>
      </c>
      <c r="T95" s="10" t="s">
        <v>555</v>
      </c>
      <c r="U95" s="10" t="s">
        <v>61</v>
      </c>
      <c r="V95" s="10" t="s">
        <v>62</v>
      </c>
    </row>
    <row r="96" customFormat="false" ht="23.85" hidden="false" customHeight="false" outlineLevel="0" collapsed="false">
      <c r="A96" s="10" t="s">
        <v>565</v>
      </c>
      <c r="B96" s="11" t="s">
        <v>566</v>
      </c>
      <c r="C96" s="10" t="s">
        <v>241</v>
      </c>
      <c r="D96" s="10" t="s">
        <v>13</v>
      </c>
      <c r="E96" s="17" t="s">
        <v>252</v>
      </c>
      <c r="F96" s="10" t="s">
        <v>52</v>
      </c>
      <c r="G96" s="13" t="s">
        <v>567</v>
      </c>
      <c r="H96" s="10" t="s">
        <v>568</v>
      </c>
      <c r="I96" s="10" t="n">
        <v>2026</v>
      </c>
      <c r="J96" s="10" t="s">
        <v>255</v>
      </c>
      <c r="K96" s="10" t="s">
        <v>228</v>
      </c>
      <c r="L96" s="10" t="s">
        <v>344</v>
      </c>
      <c r="M96" s="10" t="s">
        <v>222</v>
      </c>
      <c r="N96" s="14" t="n">
        <f aca="false">INDEX(Settings!$B$4:$B$10,MATCH(M96,Settings!$A$4:$A$10,0))</f>
        <v>1800</v>
      </c>
      <c r="O96" s="15" t="n">
        <f aca="false">IF(E96="A",IF(I96&gt;=2022,Settings!$B$13,Settings!$B$14),IF(E96="B",Settings!$B$15,Settings!$B$16))+IF(F96="S",Settings!$B$17,0)</f>
        <v>0.12</v>
      </c>
      <c r="P96" s="14" t="n">
        <f aca="false">N96*O96</f>
        <v>216</v>
      </c>
      <c r="Q96" s="16" t="n">
        <f aca="false">P96*INDEX(Settings!$B$20:$B$22,MATCH(F96,Settings!$A$20:$A$22,0))</f>
        <v>129.6</v>
      </c>
      <c r="R96" s="10" t="s">
        <v>20</v>
      </c>
      <c r="S96" s="10" t="s">
        <v>424</v>
      </c>
      <c r="T96" s="10" t="s">
        <v>555</v>
      </c>
      <c r="U96" s="10" t="s">
        <v>61</v>
      </c>
      <c r="V96" s="10" t="s">
        <v>62</v>
      </c>
    </row>
    <row r="97" customFormat="false" ht="23.85" hidden="false" customHeight="false" outlineLevel="0" collapsed="false">
      <c r="A97" s="10" t="s">
        <v>569</v>
      </c>
      <c r="B97" s="11" t="s">
        <v>570</v>
      </c>
      <c r="C97" s="10" t="s">
        <v>261</v>
      </c>
      <c r="D97" s="10" t="s">
        <v>13</v>
      </c>
      <c r="E97" s="17" t="s">
        <v>252</v>
      </c>
      <c r="F97" s="10" t="s">
        <v>52</v>
      </c>
      <c r="G97" s="13" t="s">
        <v>571</v>
      </c>
      <c r="H97" s="10" t="s">
        <v>572</v>
      </c>
      <c r="I97" s="10" t="n">
        <v>2020</v>
      </c>
      <c r="J97" s="10" t="s">
        <v>255</v>
      </c>
      <c r="K97" s="10" t="s">
        <v>264</v>
      </c>
      <c r="L97" s="10" t="s">
        <v>344</v>
      </c>
      <c r="M97" s="10" t="s">
        <v>222</v>
      </c>
      <c r="N97" s="14" t="n">
        <f aca="false">INDEX(Settings!$B$4:$B$10,MATCH(M97,Settings!$A$4:$A$10,0))</f>
        <v>1800</v>
      </c>
      <c r="O97" s="15" t="n">
        <f aca="false">IF(E97="A",IF(I97&gt;=2022,Settings!$B$13,Settings!$B$14),IF(E97="B",Settings!$B$15,Settings!$B$16))+IF(F97="S",Settings!$B$17,0)</f>
        <v>0.12</v>
      </c>
      <c r="P97" s="14" t="n">
        <f aca="false">N97*O97</f>
        <v>216</v>
      </c>
      <c r="Q97" s="16" t="n">
        <f aca="false">P97*INDEX(Settings!$B$20:$B$22,MATCH(F97,Settings!$A$20:$A$22,0))</f>
        <v>129.6</v>
      </c>
      <c r="R97" s="10" t="s">
        <v>20</v>
      </c>
      <c r="S97" s="10" t="s">
        <v>424</v>
      </c>
      <c r="T97" s="10" t="s">
        <v>555</v>
      </c>
      <c r="U97" s="10" t="s">
        <v>61</v>
      </c>
      <c r="V97" s="10" t="s">
        <v>62</v>
      </c>
    </row>
    <row r="98" customFormat="false" ht="23.85" hidden="false" customHeight="false" outlineLevel="0" collapsed="false">
      <c r="A98" s="10" t="s">
        <v>573</v>
      </c>
      <c r="B98" s="11" t="s">
        <v>574</v>
      </c>
      <c r="C98" s="10" t="s">
        <v>241</v>
      </c>
      <c r="D98" s="10" t="s">
        <v>13</v>
      </c>
      <c r="E98" s="17" t="s">
        <v>252</v>
      </c>
      <c r="F98" s="10" t="s">
        <v>52</v>
      </c>
      <c r="G98" s="13" t="s">
        <v>575</v>
      </c>
      <c r="H98" s="10" t="s">
        <v>552</v>
      </c>
      <c r="I98" s="10" t="n">
        <v>2025</v>
      </c>
      <c r="J98" s="10" t="s">
        <v>255</v>
      </c>
      <c r="K98" s="10" t="s">
        <v>228</v>
      </c>
      <c r="L98" s="10" t="s">
        <v>344</v>
      </c>
      <c r="M98" s="10" t="s">
        <v>222</v>
      </c>
      <c r="N98" s="14" t="n">
        <f aca="false">INDEX(Settings!$B$4:$B$10,MATCH(M98,Settings!$A$4:$A$10,0))</f>
        <v>1800</v>
      </c>
      <c r="O98" s="15" t="n">
        <f aca="false">IF(E98="A",IF(I98&gt;=2022,Settings!$B$13,Settings!$B$14),IF(E98="B",Settings!$B$15,Settings!$B$16))+IF(F98="S",Settings!$B$17,0)</f>
        <v>0.12</v>
      </c>
      <c r="P98" s="14" t="n">
        <f aca="false">N98*O98</f>
        <v>216</v>
      </c>
      <c r="Q98" s="16" t="n">
        <f aca="false">P98*INDEX(Settings!$B$20:$B$22,MATCH(F98,Settings!$A$20:$A$22,0))</f>
        <v>129.6</v>
      </c>
      <c r="R98" s="10" t="s">
        <v>20</v>
      </c>
      <c r="S98" s="10" t="s">
        <v>424</v>
      </c>
      <c r="T98" s="10" t="s">
        <v>555</v>
      </c>
      <c r="U98" s="10" t="s">
        <v>61</v>
      </c>
      <c r="V98" s="10" t="s">
        <v>62</v>
      </c>
    </row>
    <row r="99" customFormat="false" ht="15" hidden="false" customHeight="false" outlineLevel="0" collapsed="false">
      <c r="A99" s="10" t="s">
        <v>576</v>
      </c>
      <c r="B99" s="11" t="s">
        <v>577</v>
      </c>
      <c r="C99" s="10" t="s">
        <v>465</v>
      </c>
      <c r="D99" s="10" t="s">
        <v>283</v>
      </c>
      <c r="E99" s="12" t="s">
        <v>51</v>
      </c>
      <c r="F99" s="10" t="s">
        <v>52</v>
      </c>
      <c r="G99" s="13" t="s">
        <v>331</v>
      </c>
      <c r="H99" s="10" t="s">
        <v>578</v>
      </c>
      <c r="I99" s="10" t="n">
        <v>2026</v>
      </c>
      <c r="J99" s="10" t="s">
        <v>203</v>
      </c>
      <c r="K99" s="10" t="s">
        <v>256</v>
      </c>
      <c r="L99" s="10" t="s">
        <v>579</v>
      </c>
      <c r="M99" s="10" t="s">
        <v>383</v>
      </c>
      <c r="N99" s="14" t="n">
        <f aca="false">INDEX(Settings!$B$4:$B$10,MATCH(M99,Settings!$A$4:$A$10,0))</f>
        <v>600</v>
      </c>
      <c r="O99" s="15" t="n">
        <f aca="false">IF(E99="A",IF(I99&gt;=2022,Settings!$B$13,Settings!$B$14),IF(E99="B",Settings!$B$15,Settings!$B$16))+IF(F99="S",Settings!$B$17,0)</f>
        <v>0.25</v>
      </c>
      <c r="P99" s="14" t="n">
        <f aca="false">N99*O99</f>
        <v>150</v>
      </c>
      <c r="Q99" s="16" t="n">
        <f aca="false">P99*INDEX(Settings!$B$20:$B$22,MATCH(F99,Settings!$A$20:$A$22,0))</f>
        <v>90</v>
      </c>
      <c r="R99" s="10" t="s">
        <v>20</v>
      </c>
      <c r="S99" s="10" t="s">
        <v>424</v>
      </c>
      <c r="T99" s="10" t="s">
        <v>555</v>
      </c>
      <c r="U99" s="10" t="s">
        <v>61</v>
      </c>
      <c r="V99" s="10" t="s">
        <v>62</v>
      </c>
    </row>
    <row r="100" customFormat="false" ht="23.85" hidden="false" customHeight="false" outlineLevel="0" collapsed="false">
      <c r="A100" s="10" t="s">
        <v>580</v>
      </c>
      <c r="B100" s="11" t="s">
        <v>581</v>
      </c>
      <c r="C100" s="10" t="s">
        <v>582</v>
      </c>
      <c r="D100" s="10" t="s">
        <v>13</v>
      </c>
      <c r="E100" s="17" t="s">
        <v>252</v>
      </c>
      <c r="F100" s="10" t="s">
        <v>200</v>
      </c>
      <c r="G100" s="13" t="s">
        <v>583</v>
      </c>
      <c r="H100" s="10" t="s">
        <v>584</v>
      </c>
      <c r="I100" s="10" t="n">
        <v>2024</v>
      </c>
      <c r="J100" s="10" t="s">
        <v>255</v>
      </c>
      <c r="K100" s="10" t="s">
        <v>220</v>
      </c>
      <c r="L100" s="10" t="s">
        <v>351</v>
      </c>
      <c r="M100" s="10" t="s">
        <v>406</v>
      </c>
      <c r="N100" s="14" t="n">
        <f aca="false">INDEX(Settings!$B$4:$B$10,MATCH(M100,Settings!$A$4:$A$10,0))</f>
        <v>540</v>
      </c>
      <c r="O100" s="15" t="n">
        <f aca="false">IF(E100="A",IF(I100&gt;=2022,Settings!$B$13,Settings!$B$14),IF(E100="B",Settings!$B$15,Settings!$B$16))+IF(F100="S",Settings!$B$17,0)</f>
        <v>0.12</v>
      </c>
      <c r="P100" s="14" t="n">
        <f aca="false">N100*O100</f>
        <v>64.8</v>
      </c>
      <c r="Q100" s="16" t="n">
        <f aca="false">P100*INDEX(Settings!$B$20:$B$22,MATCH(F100,Settings!$A$20:$A$22,0))</f>
        <v>64.8</v>
      </c>
      <c r="R100" s="10" t="s">
        <v>20</v>
      </c>
      <c r="S100" s="10" t="s">
        <v>424</v>
      </c>
      <c r="T100" s="10" t="s">
        <v>555</v>
      </c>
      <c r="U100" s="10" t="s">
        <v>61</v>
      </c>
      <c r="V100" s="10" t="s">
        <v>62</v>
      </c>
    </row>
    <row r="101" customFormat="false" ht="23.85" hidden="false" customHeight="false" outlineLevel="0" collapsed="false">
      <c r="A101" s="10" t="s">
        <v>585</v>
      </c>
      <c r="B101" s="11" t="s">
        <v>586</v>
      </c>
      <c r="C101" s="10" t="s">
        <v>587</v>
      </c>
      <c r="D101" s="10" t="s">
        <v>588</v>
      </c>
      <c r="E101" s="17" t="s">
        <v>252</v>
      </c>
      <c r="F101" s="10" t="s">
        <v>200</v>
      </c>
      <c r="G101" s="13" t="s">
        <v>589</v>
      </c>
      <c r="H101" s="10" t="s">
        <v>590</v>
      </c>
      <c r="I101" s="10" t="n">
        <v>2026</v>
      </c>
      <c r="J101" s="10" t="s">
        <v>255</v>
      </c>
      <c r="K101" s="10" t="s">
        <v>220</v>
      </c>
      <c r="L101" s="10" t="s">
        <v>351</v>
      </c>
      <c r="M101" s="10" t="s">
        <v>406</v>
      </c>
      <c r="N101" s="14" t="n">
        <f aca="false">INDEX(Settings!$B$4:$B$10,MATCH(M101,Settings!$A$4:$A$10,0))</f>
        <v>540</v>
      </c>
      <c r="O101" s="15" t="n">
        <f aca="false">IF(E101="A",IF(I101&gt;=2022,Settings!$B$13,Settings!$B$14),IF(E101="B",Settings!$B$15,Settings!$B$16))+IF(F101="S",Settings!$B$17,0)</f>
        <v>0.12</v>
      </c>
      <c r="P101" s="14" t="n">
        <f aca="false">N101*O101</f>
        <v>64.8</v>
      </c>
      <c r="Q101" s="16" t="n">
        <f aca="false">P101*INDEX(Settings!$B$20:$B$22,MATCH(F101,Settings!$A$20:$A$22,0))</f>
        <v>64.8</v>
      </c>
      <c r="R101" s="10" t="s">
        <v>20</v>
      </c>
      <c r="S101" s="10" t="s">
        <v>424</v>
      </c>
      <c r="T101" s="10" t="s">
        <v>555</v>
      </c>
      <c r="U101" s="10" t="s">
        <v>61</v>
      </c>
      <c r="V101" s="10" t="s">
        <v>62</v>
      </c>
    </row>
    <row r="102" customFormat="false" ht="23.85" hidden="false" customHeight="false" outlineLevel="0" collapsed="false">
      <c r="A102" s="10" t="s">
        <v>591</v>
      </c>
      <c r="B102" s="11" t="s">
        <v>592</v>
      </c>
      <c r="C102" s="10" t="s">
        <v>593</v>
      </c>
      <c r="D102" s="10" t="s">
        <v>15</v>
      </c>
      <c r="E102" s="17" t="s">
        <v>252</v>
      </c>
      <c r="F102" s="10" t="s">
        <v>200</v>
      </c>
      <c r="G102" s="13" t="s">
        <v>594</v>
      </c>
      <c r="H102" s="10" t="s">
        <v>595</v>
      </c>
      <c r="I102" s="10" t="n">
        <v>2026</v>
      </c>
      <c r="J102" s="10" t="s">
        <v>255</v>
      </c>
      <c r="K102" s="10" t="s">
        <v>220</v>
      </c>
      <c r="L102" s="10" t="s">
        <v>351</v>
      </c>
      <c r="M102" s="10" t="s">
        <v>406</v>
      </c>
      <c r="N102" s="14" t="n">
        <f aca="false">INDEX(Settings!$B$4:$B$10,MATCH(M102,Settings!$A$4:$A$10,0))</f>
        <v>540</v>
      </c>
      <c r="O102" s="15" t="n">
        <f aca="false">IF(E102="A",IF(I102&gt;=2022,Settings!$B$13,Settings!$B$14),IF(E102="B",Settings!$B$15,Settings!$B$16))+IF(F102="S",Settings!$B$17,0)</f>
        <v>0.12</v>
      </c>
      <c r="P102" s="14" t="n">
        <f aca="false">N102*O102</f>
        <v>64.8</v>
      </c>
      <c r="Q102" s="16" t="n">
        <f aca="false">P102*INDEX(Settings!$B$20:$B$22,MATCH(F102,Settings!$A$20:$A$22,0))</f>
        <v>64.8</v>
      </c>
      <c r="R102" s="10" t="s">
        <v>20</v>
      </c>
      <c r="S102" s="10" t="s">
        <v>424</v>
      </c>
      <c r="T102" s="10" t="s">
        <v>555</v>
      </c>
      <c r="U102" s="10" t="s">
        <v>61</v>
      </c>
      <c r="V102" s="10" t="s">
        <v>62</v>
      </c>
    </row>
    <row r="103" customFormat="false" ht="23.85" hidden="false" customHeight="false" outlineLevel="0" collapsed="false">
      <c r="A103" s="10" t="s">
        <v>596</v>
      </c>
      <c r="B103" s="11" t="s">
        <v>597</v>
      </c>
      <c r="C103" s="10" t="s">
        <v>241</v>
      </c>
      <c r="D103" s="10" t="s">
        <v>283</v>
      </c>
      <c r="E103" s="12" t="s">
        <v>51</v>
      </c>
      <c r="F103" s="10" t="s">
        <v>52</v>
      </c>
      <c r="G103" s="10"/>
      <c r="H103" s="10" t="s">
        <v>598</v>
      </c>
      <c r="I103" s="10"/>
      <c r="J103" s="10"/>
      <c r="K103" s="10" t="s">
        <v>228</v>
      </c>
      <c r="L103" s="10" t="s">
        <v>599</v>
      </c>
      <c r="M103" s="10" t="s">
        <v>222</v>
      </c>
      <c r="N103" s="14" t="n">
        <f aca="false">INDEX(Settings!$B$4:$B$10,MATCH(M103,Settings!$A$4:$A$10,0))</f>
        <v>1800</v>
      </c>
      <c r="O103" s="15" t="n">
        <f aca="false">IF(E103="A",IF(I103&gt;=2022,Settings!$B$13,Settings!$B$14),IF(E103="B",Settings!$B$15,Settings!$B$16))+IF(F103="S",Settings!$B$17,0)</f>
        <v>0.15</v>
      </c>
      <c r="P103" s="14" t="n">
        <f aca="false">N103*O103</f>
        <v>270</v>
      </c>
      <c r="Q103" s="16" t="n">
        <f aca="false">P103*INDEX(Settings!$B$20:$B$22,MATCH(F103,Settings!$A$20:$A$22,0))</f>
        <v>162</v>
      </c>
      <c r="R103" s="10" t="s">
        <v>600</v>
      </c>
      <c r="S103" s="10" t="s">
        <v>60</v>
      </c>
      <c r="T103" s="10" t="s">
        <v>601</v>
      </c>
      <c r="U103" s="10" t="s">
        <v>602</v>
      </c>
      <c r="V103" s="10" t="s">
        <v>62</v>
      </c>
    </row>
    <row r="104" customFormat="false" ht="23.85" hidden="false" customHeight="false" outlineLevel="0" collapsed="false">
      <c r="A104" s="10" t="s">
        <v>603</v>
      </c>
      <c r="B104" s="11" t="s">
        <v>604</v>
      </c>
      <c r="C104" s="10" t="s">
        <v>348</v>
      </c>
      <c r="D104" s="10" t="s">
        <v>283</v>
      </c>
      <c r="E104" s="12" t="s">
        <v>51</v>
      </c>
      <c r="F104" s="10" t="s">
        <v>52</v>
      </c>
      <c r="G104" s="10"/>
      <c r="H104" s="10" t="s">
        <v>598</v>
      </c>
      <c r="I104" s="10"/>
      <c r="J104" s="10"/>
      <c r="K104" s="10" t="s">
        <v>350</v>
      </c>
      <c r="L104" s="10" t="s">
        <v>344</v>
      </c>
      <c r="M104" s="10" t="s">
        <v>222</v>
      </c>
      <c r="N104" s="14" t="n">
        <f aca="false">INDEX(Settings!$B$4:$B$10,MATCH(M104,Settings!$A$4:$A$10,0))</f>
        <v>1800</v>
      </c>
      <c r="O104" s="15" t="n">
        <f aca="false">IF(E104="A",IF(I104&gt;=2022,Settings!$B$13,Settings!$B$14),IF(E104="B",Settings!$B$15,Settings!$B$16))+IF(F104="S",Settings!$B$17,0)</f>
        <v>0.15</v>
      </c>
      <c r="P104" s="14" t="n">
        <f aca="false">N104*O104</f>
        <v>270</v>
      </c>
      <c r="Q104" s="16" t="n">
        <f aca="false">P104*INDEX(Settings!$B$20:$B$22,MATCH(F104,Settings!$A$20:$A$22,0))</f>
        <v>162</v>
      </c>
      <c r="R104" s="10" t="s">
        <v>600</v>
      </c>
      <c r="S104" s="10" t="s">
        <v>60</v>
      </c>
      <c r="T104" s="10" t="s">
        <v>601</v>
      </c>
      <c r="U104" s="10" t="s">
        <v>602</v>
      </c>
      <c r="V104" s="10" t="s">
        <v>62</v>
      </c>
    </row>
    <row r="105" customFormat="false" ht="15" hidden="false" customHeight="false" outlineLevel="0" collapsed="false">
      <c r="A105" s="10" t="s">
        <v>605</v>
      </c>
      <c r="B105" s="11" t="s">
        <v>606</v>
      </c>
      <c r="C105" s="10" t="s">
        <v>607</v>
      </c>
      <c r="D105" s="10" t="s">
        <v>283</v>
      </c>
      <c r="E105" s="12" t="s">
        <v>51</v>
      </c>
      <c r="F105" s="10" t="s">
        <v>52</v>
      </c>
      <c r="G105" s="10"/>
      <c r="H105" s="10" t="s">
        <v>598</v>
      </c>
      <c r="I105" s="10"/>
      <c r="J105" s="10"/>
      <c r="K105" s="10" t="s">
        <v>256</v>
      </c>
      <c r="L105" s="10" t="s">
        <v>608</v>
      </c>
      <c r="M105" s="10" t="s">
        <v>222</v>
      </c>
      <c r="N105" s="14" t="n">
        <f aca="false">INDEX(Settings!$B$4:$B$10,MATCH(M105,Settings!$A$4:$A$10,0))</f>
        <v>1800</v>
      </c>
      <c r="O105" s="15" t="n">
        <f aca="false">IF(E105="A",IF(I105&gt;=2022,Settings!$B$13,Settings!$B$14),IF(E105="B",Settings!$B$15,Settings!$B$16))+IF(F105="S",Settings!$B$17,0)</f>
        <v>0.15</v>
      </c>
      <c r="P105" s="14" t="n">
        <f aca="false">N105*O105</f>
        <v>270</v>
      </c>
      <c r="Q105" s="16" t="n">
        <f aca="false">P105*INDEX(Settings!$B$20:$B$22,MATCH(F105,Settings!$A$20:$A$22,0))</f>
        <v>162</v>
      </c>
      <c r="R105" s="10" t="s">
        <v>600</v>
      </c>
      <c r="S105" s="10" t="s">
        <v>60</v>
      </c>
      <c r="T105" s="10" t="s">
        <v>601</v>
      </c>
      <c r="U105" s="10" t="s">
        <v>602</v>
      </c>
      <c r="V105" s="10" t="s">
        <v>62</v>
      </c>
    </row>
    <row r="106" customFormat="false" ht="15" hidden="false" customHeight="false" outlineLevel="0" collapsed="false">
      <c r="A106" s="10" t="s">
        <v>609</v>
      </c>
      <c r="B106" s="11" t="s">
        <v>610</v>
      </c>
      <c r="C106" s="10" t="s">
        <v>348</v>
      </c>
      <c r="D106" s="10" t="s">
        <v>283</v>
      </c>
      <c r="E106" s="12" t="s">
        <v>51</v>
      </c>
      <c r="F106" s="10" t="s">
        <v>52</v>
      </c>
      <c r="G106" s="10"/>
      <c r="H106" s="10" t="s">
        <v>598</v>
      </c>
      <c r="I106" s="10"/>
      <c r="J106" s="10"/>
      <c r="K106" s="10" t="s">
        <v>350</v>
      </c>
      <c r="L106" s="10" t="s">
        <v>611</v>
      </c>
      <c r="M106" s="10" t="s">
        <v>222</v>
      </c>
      <c r="N106" s="14" t="n">
        <f aca="false">INDEX(Settings!$B$4:$B$10,MATCH(M106,Settings!$A$4:$A$10,0))</f>
        <v>1800</v>
      </c>
      <c r="O106" s="15" t="n">
        <f aca="false">IF(E106="A",IF(I106&gt;=2022,Settings!$B$13,Settings!$B$14),IF(E106="B",Settings!$B$15,Settings!$B$16))+IF(F106="S",Settings!$B$17,0)</f>
        <v>0.15</v>
      </c>
      <c r="P106" s="14" t="n">
        <f aca="false">N106*O106</f>
        <v>270</v>
      </c>
      <c r="Q106" s="16" t="n">
        <f aca="false">P106*INDEX(Settings!$B$20:$B$22,MATCH(F106,Settings!$A$20:$A$22,0))</f>
        <v>162</v>
      </c>
      <c r="R106" s="10" t="s">
        <v>600</v>
      </c>
      <c r="S106" s="10" t="s">
        <v>60</v>
      </c>
      <c r="T106" s="10" t="s">
        <v>601</v>
      </c>
      <c r="U106" s="10" t="s">
        <v>602</v>
      </c>
      <c r="V106" s="10" t="s">
        <v>62</v>
      </c>
    </row>
    <row r="107" customFormat="false" ht="15" hidden="false" customHeight="false" outlineLevel="0" collapsed="false">
      <c r="A107" s="10" t="s">
        <v>612</v>
      </c>
      <c r="B107" s="11" t="s">
        <v>613</v>
      </c>
      <c r="C107" s="10" t="s">
        <v>348</v>
      </c>
      <c r="D107" s="10" t="s">
        <v>283</v>
      </c>
      <c r="E107" s="12" t="s">
        <v>51</v>
      </c>
      <c r="F107" s="10" t="s">
        <v>52</v>
      </c>
      <c r="G107" s="10"/>
      <c r="H107" s="10" t="s">
        <v>598</v>
      </c>
      <c r="I107" s="10"/>
      <c r="J107" s="10"/>
      <c r="K107" s="10" t="s">
        <v>350</v>
      </c>
      <c r="L107" s="10" t="s">
        <v>614</v>
      </c>
      <c r="M107" s="10" t="s">
        <v>222</v>
      </c>
      <c r="N107" s="14" t="n">
        <f aca="false">INDEX(Settings!$B$4:$B$10,MATCH(M107,Settings!$A$4:$A$10,0))</f>
        <v>1800</v>
      </c>
      <c r="O107" s="15" t="n">
        <f aca="false">IF(E107="A",IF(I107&gt;=2022,Settings!$B$13,Settings!$B$14),IF(E107="B",Settings!$B$15,Settings!$B$16))+IF(F107="S",Settings!$B$17,0)</f>
        <v>0.15</v>
      </c>
      <c r="P107" s="14" t="n">
        <f aca="false">N107*O107</f>
        <v>270</v>
      </c>
      <c r="Q107" s="16" t="n">
        <f aca="false">P107*INDEX(Settings!$B$20:$B$22,MATCH(F107,Settings!$A$20:$A$22,0))</f>
        <v>162</v>
      </c>
      <c r="R107" s="10" t="s">
        <v>600</v>
      </c>
      <c r="S107" s="10" t="s">
        <v>60</v>
      </c>
      <c r="T107" s="10" t="s">
        <v>601</v>
      </c>
      <c r="U107" s="10" t="s">
        <v>602</v>
      </c>
      <c r="V107" s="10" t="s">
        <v>62</v>
      </c>
    </row>
  </sheetData>
  <autoFilter ref="A1:V107"/>
  <dataValidations count="1">
    <dataValidation allowBlank="false" errorStyle="stop" operator="between" showDropDown="false" showErrorMessage="false" showInputMessage="false" sqref="R2:R107" type="list">
      <formula1>"To contact,Contacted,Replied,Call booked,Proposal sent,Won,Lost,Parked"</formula1>
      <formula2>0</formula2>
    </dataValidation>
  </dataValidations>
  <hyperlinks>
    <hyperlink ref="G2" r:id="rId1" display="https://chambers.com/department/millennium-bcp-private-banks-high-net-worth-21:2699:174:1:249515"/>
    <hyperlink ref="G3" r:id="rId2" display="https://www.idealista.pt/en/news/node/71011"/>
    <hyperlink ref="G4" r:id="rId3" display="https://www.idealista.pt/en/news/node/61843"/>
    <hyperlink ref="G5" r:id="rId4" display="https://www.idealista.pt/news/node/75369"/>
    <hyperlink ref="G6" r:id="rId5" display="https://www.idealista.pt/en/news/luxury-real-estate-in-portugal/2025/02/06/67912-vale-do-lobo-in-the-algarve-invests-over-eu200-million-in-luxury-homes"/>
    <hyperlink ref="G7" r:id="rId6" display="https://chambers.com/department/andersen-private-wealth-law-high-net-worth-21:2633:174:1:22620317"/>
    <hyperlink ref="G8" r:id="rId7" display="https://www.essential-business.pt/2019/12/08/btg-pactual-enters-portuguese-banking-market/"/>
    <hyperlink ref="G9" r:id="rId8" display="https://cms.law/en/prt/news-information/cms-portugal-and-nuno-figueiroa-santos-highlighted-in-the-chambers-and-partners-high-net-worth-guide"/>
    <hyperlink ref="G10" r:id="rId9" display="https://cleerly.fr/retraite/portugal"/>
    <hyperlink ref="G11" r:id="rId10" display="https://compassurance.ch/retirer-2eme-pilier-quitter-suisse/"/>
    <hyperlink ref="G12" r:id="rId11" display="https://creativeplanning.com/international/insights/financial-planning/9-critical-financial-planning-considerations-for-american-expats-living-in-portugal/"/>
    <hyperlink ref="G13" r:id="rId12" display="https://www.deloitte.com/pt/pt/services/legal/blogs/news/deloitte-legal-telles-band-1-private-wealth-law.html"/>
    <hyperlink ref="G14" r:id="rId13" display="https://fresh-legal.com/us"/>
    <hyperlink ref="G15" r:id="rId14" display="https://www.hagnere-patrimoine.fr/gestion-de-patrimoine-expatrie-portugal"/>
    <hyperlink ref="G16" r:id="rId15" display="https://www.essential-business.pt/2025/03/27/swiss-wealth-management-and-investment-bank-julius-baer-to-open-lisbon-office/"/>
    <hyperlink ref="G17" r:id="rId16" display="https://www.essential-business.pt/2025/11/21/krest-unveils-formoso-marvila-residential-development-in-lisbon/"/>
    <hyperlink ref="G18" r:id="rId17" display="https://uk.trustpilot.com/review/taxbordr.com"/>
    <hyperlink ref="G19" r:id="rId18" display="https://spectrum-ifa.com/expat-financial-advice-in-portugal/"/>
    <hyperlink ref="G20" r:id="rId19" display="https://luxuriousmagazine.com/vilamoura-world-new-residential-projects"/>
    <hyperlink ref="G21" r:id="rId20" display="https://www.dnoticias.pt/2024/11/13/427070-yard-properties-investe-no-funchal-com-projecto-residencial-de-luxo/"/>
    <hyperlink ref="G22" r:id="rId21" display="https://www.abanca.pt/pt/residentes-suica/"/>
    <hyperlink ref="G23" r:id="rId22" display="https://lusojornal.com/salao-do-imobiliario-e-do-investimento-portugues-muda-se-para-a-porte-de-champeret/"/>
    <hyperlink ref="G24" r:id="rId23" display="https://lusopress.tv/wp-content/uploads/2023/07/lusopress_125.pdf"/>
    <hyperlink ref="G25" r:id="rId24" display="https://www.eurodicas.com.br/conexao-europa-imoveis/"/>
    <hyperlink ref="G26" r:id="rId25" display="https://lusojornal.com/salao-do-imobiliario-e-do-investimento-portugues-muda-se-para-a-porte-de-champeret/"/>
    <hyperlink ref="G27" r:id="rId26" display="https://www.dnoticias.pt/2022/12/21/340949-o-processo-de-abertura-de-uma-conta-bancaria-em-portugal/"/>
    <hyperlink ref="G28" r:id="rId27" display="https://lusopress.tv/wp-content/uploads/2023/07/lusopress_125.pdf"/>
    <hyperlink ref="G29" r:id="rId28" display="https://www.santander.pt/portugueses-residentes-exterior"/>
    <hyperlink ref="G30" r:id="rId29" display="https://br.ebury.com/blog/vou-comprar-um-imovel-em-portugal-e-agora-como-faco-o-pagamento"/>
    <hyperlink ref="G31" r:id="rId30" display="https://lusopress.tv/wp-content/uploads/2018/12/10nomes10historias_3.pdf"/>
    <hyperlink ref="G32" r:id="rId31" display="https://www.idealista.pt/news/node/26913"/>
    <hyperlink ref="G33" r:id="rId32" display="https://anchorless.io/fr/partenaires/cafimo"/>
    <hyperlink ref="G34" r:id="rId33" display="https://www.bleap.finance/pt-br/blog/como-enviar-dinheiro-do-brasil-para-portugal"/>
    <hyperlink ref="G35" r:id="rId34" display="https://crncontabilidade.pt/?p=21253"/>
    <hyperlink ref="G36" r:id="rId35" display="https://investnews.com.br/financas/entre-estrangeiros-brasileiros-lideram-busca-por-imoveis-de-luxo-em-pontos-nobres-de-portugal/amp/"/>
    <hyperlink ref="G37" r:id="rId36" display="https://anchorless.io/fr/partenaires/cafimo"/>
    <hyperlink ref="G38" r:id="rId37" display="https://www.cidadaniaevisto.com.br/blog/quanto-custa-mudanca-brasil-para-portugal"/>
    <hyperlink ref="G39" r:id="rId38" display="https://www.euodia.fr/succession/portugal/"/>
    <hyperlink ref="G40" r:id="rId39" display="https://en.paperjam.lu/club/event/paperjam-10x6-decisao-the-portuguese-business-community-in-action"/>
    <hyperlink ref="G41" r:id="rId40" display="https://www.portugalresidencyadvisors.com/pt-br/advogado-imobiliario-portugal/"/>
    <hyperlink ref="G42" r:id="rId41" display="https://www.lemondedudroit.fr/vie-des-cabinets/102561-emilie-silva-fonde-silva-avocat-partners.html"/>
    <hyperlink ref="G43" r:id="rId42" display="https://www.ibani.com/pt/guias/levantar-2-pilar-imovel-estrangeiro"/>
    <hyperlink ref="G44" r:id="rId43" display="https://www.eurodicas.com.br/comprar-casa-em-portugal/"/>
    <hyperlink ref="G45" r:id="rId44" display="https://hrportugal.sapo.pt/?p=230644"/>
    <hyperlink ref="G46" r:id="rId45" display="https://www.idealista.pt/news/node/26913"/>
    <hyperlink ref="G47" r:id="rId46" display="https://lusojornal.com/salao-do-imobiliario-e-do-investimento-portugues-muda-se-para-a-porte-de-champeret/"/>
    <hyperlink ref="G48" r:id="rId47" display="https://lusojornal.com/salao-do-imobiliario-e-do-investimento-portugues-muda-se-para-a-porte-de-champeret/"/>
    <hyperlink ref="G49" r:id="rId48" display="https://investnews.com.br/financas/entre-estrangeiros-brasileiros-lideram-busca-por-imoveis-de-luxo-em-pontos-nobres-de-portugal/amp/"/>
    <hyperlink ref="G50" r:id="rId49" display="https://www.mysweetimmo.com/2019/12/19/le-courtier-cafpi-simplante-au-portugal/"/>
    <hyperlink ref="G51" r:id="rId50" display="https://ind.millenniumbcp.pt/pt/Particulares/suamedida/utilisateurs-francais/Pages/REX_escolherMbcp.aspx"/>
    <hyperlink ref="G52" r:id="rId51" display="https://lusopress.tv/wp-content/uploads/2025/12/Revista-142.pdf"/>
    <hyperlink ref="G53" r:id="rId52" display="https://monitormercantil.com.br/mercado-imobili-rio-de-portugal-op-o-para-a-investidores-brasileiros/"/>
    <hyperlink ref="G54" r:id="rId53" display="https://www.eurodicas.com.br/comprar-casa-em-portugal/"/>
    <hyperlink ref="G55" r:id="rId54" display="https://www.idealista.pt/news/node/26913"/>
    <hyperlink ref="G56" r:id="rId55" display="https://lusopress.tv/wp-content/uploads/2023/07/lusopress_125.pdf"/>
    <hyperlink ref="G57" r:id="rId56" display="https://lusopress.tv/wp-content/uploads/2023/07/lusopress_125.pdf"/>
    <hyperlink ref="G58" r:id="rId57" display="https://monitormercantil.com.br/mercado-imobili-rio-de-portugal-op-o-para-a-investidores-brasileiros/"/>
    <hyperlink ref="G59" r:id="rId58" display="https://www.eurodicas.com.br/comprar-casa-em-portugal/"/>
    <hyperlink ref="G60" r:id="rId59" display="https://lusopress.tv/wp-content/uploads/2023/07/lusopress_125.pdf"/>
    <hyperlink ref="G61" r:id="rId60" display="https://www.eurodicas.com.br/como-financiar-imovel-em-portugal/"/>
    <hyperlink ref="G62" r:id="rId61" display="https://www.doutorfinancas.pt/wp-content/uploads/2025/12/IC-000042_.pdf"/>
    <hyperlink ref="G63" r:id="rId62" display="https://www.doutorfinancas.pt/wp-content/uploads/2025/12/IC-000042_.pdf"/>
    <hyperlink ref="G64" r:id="rId63" display="https://www.eurodicas.com.br/como-financiar-imovel-em-portugal/"/>
    <hyperlink ref="G65" r:id="rId64" display="https://brighttax.com/blog/can-americans-buy-property-in-portugal"/>
    <hyperlink ref="G66" r:id="rId65" display="https://www.comparaja.pt/credito-habitacao/emigrantes"/>
    <hyperlink ref="G67" r:id="rId66" display="https://www.doutorfinancas.pt/creditos/credito-habitacao/credito-habitacao-e-emigracao-o-que-deve-saber/"/>
    <hyperlink ref="G68" r:id="rId67" display="https://www.goldinglawyers.com/tax-tips-for-portugal-based-americans-u-s-citizen-expats/"/>
    <hyperlink ref="G69" r:id="rId68" display="https://www.guestready.com/fr/conciergerie-airbnb/portugal/"/>
    <hyperlink ref="G70" r:id="rId69" display="https://www.justarrived.lu/pt/"/>
    <hyperlink ref="G71" r:id="rId70" display="https://www.lvpadvogados.com/pt"/>
    <hyperlink ref="G72" r:id="rId71" display="https://www.remitly.com/blog/immigration/buying-property-in-portugal/"/>
    <hyperlink ref="G73" r:id="rId72" display="https://smargiassi.com.br/lp/portugal/"/>
    <hyperlink ref="G74" r:id="rId73" display="https://www.solutis.fr/investir-au-portugal.html"/>
    <hyperlink ref="G75" r:id="rId74" display="https://www.solutis.fr/investir-au-portugal.html"/>
    <hyperlink ref="G76" r:id="rId75" display="https://www.taxesforexpats.com/country-guides/portugal/buying-property-in-portugal-as-an-american.html"/>
    <hyperlink ref="G77" r:id="rId76" display="https://www.eurodicas.com.br/como-financiar-imovel-em-portugal/"/>
    <hyperlink ref="G78" r:id="rId77" display="https://www.verspieren.com/sites/default/files/2019-11/Communique_Presse_Lancement_Verspieren%20Portugal.pdf"/>
    <hyperlink ref="G79" r:id="rId78" display="https://www.essential-business.pt/2025/10/03/shalu-invests-e100-million-in-luxury-porto-project/"/>
    <hyperlink ref="G80" r:id="rId79" display="https://www.essential-business.pt/?p=21799"/>
    <hyperlink ref="G81" r:id="rId80" display="https://econews.pt/?p=47234"/>
    <hyperlink ref="G82" r:id="rId81" display="https://www.idealista.pt/news/node/26913"/>
    <hyperlink ref="G83" r:id="rId82" display="https://www.idealista.pt/news/node/26913"/>
    <hyperlink ref="G84" r:id="rId83" display="https://www.idealista.pt/news/node/26913"/>
    <hyperlink ref="G85" r:id="rId84" display="https://www.idealista.pt/news/node/26913"/>
    <hyperlink ref="G86" r:id="rId85" display="https://www.cyriljarnias.fr/?p=22969"/>
    <hyperlink ref="G87" r:id="rId86" display="https://www.cidadaniaevisto.com.br/blog/container-brasil-para-portugal-como-funciona"/>
    <hyperlink ref="G88" r:id="rId87" display="https://www.eurodicas.com.br/comprar-casa-em-portugal/"/>
    <hyperlink ref="G89" r:id="rId88" display="https://www.justarrived.lu/pt/services-partenaires/demenager"/>
    <hyperlink ref="G90" r:id="rId89" display="https://en.paperjam.lu/club/event/paperjam-10x6-decisao-the-portuguese-business-community-in-action"/>
    <hyperlink ref="G91" r:id="rId90" display="https://en.paperjam.lu/club/event/paperjam-10x6-decisao-the-portuguese-business-community-in-action"/>
    <hyperlink ref="G92" r:id="rId91" display="https://www.bdo.pt/getattachment/976e2ae4-5f6d-4174-b76e-23bf21d7c475/Guia-Investir-au-Portugal-25_9_Compress.pdf"/>
    <hyperlink ref="G93" r:id="rId92" display="https://www.eurodicas.com.br/como-financiar-imovel-em-portugal/"/>
    <hyperlink ref="G94" r:id="rId93" display="https://contasconnosco.cofidis.pt/credito/e-emigrante-e-quer-fazer-um-credito-habitacao-em-portugal"/>
    <hyperlink ref="G95" r:id="rId94" display="https://ca-ql.creditoagricola.pt/institucional/international-v2"/>
    <hyperlink ref="G96" r:id="rId95" display="https://www.fieldfisher.com/pt-pt/people/franck-mattos"/>
    <hyperlink ref="G97" r:id="rId96" display="https://www.meilleurtaux.com/credit-immobilier/actualites/2020-juillet/portugal-terre-accueil-ideale-expatries-francais.html"/>
    <hyperlink ref="G98" r:id="rId97" display="https://mirandalawfirm.com/download/2729/aad470f4cb89c159ff1db5542b48660f/Guia%20Investir%20au%20Portugal%2025_9_Compress.pdf"/>
    <hyperlink ref="G99" r:id="rId98" display="https://www.eurodicas.com.br/comprar-casa-em-portugal/"/>
    <hyperlink ref="G100" r:id="rId99" display="https://www.caixiave.pt/fr/nouvelle/caixiave-salon-de-limmobilier-au-portugal-sil-2024"/>
    <hyperlink ref="G101" r:id="rId100" display="https://www.eurosender.com/pt/rr/mudancas/suica"/>
    <hyperlink ref="G102" r:id="rId101" display="https://www.uniplaces.com/city-explorer/aluguel-para-expatriados-em-portugal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0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0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6" min="5" style="0" width="6"/>
    <col collapsed="false" customWidth="true" hidden="false" outlineLevel="0" max="7" min="7" style="0" width="34"/>
    <col collapsed="false" customWidth="true" hidden="false" outlineLevel="0" max="8" min="8" style="0" width="50"/>
    <col collapsed="false" customWidth="true" hidden="false" outlineLevel="0" max="9" min="9" style="0" width="9"/>
    <col collapsed="false" customWidth="true" hidden="false" outlineLevel="0" max="10" min="10" style="0" width="13"/>
    <col collapsed="false" customWidth="true" hidden="false" outlineLevel="0" max="12" min="11" style="0" width="30"/>
    <col collapsed="false" customWidth="true" hidden="false" outlineLevel="0" max="13" min="13" style="0" width="16"/>
    <col collapsed="false" customWidth="true" hidden="false" outlineLevel="0" max="14" min="14" style="0" width="13"/>
    <col collapsed="false" customWidth="true" hidden="false" outlineLevel="0" max="15" min="15" style="0" width="11"/>
    <col collapsed="false" customWidth="true" hidden="false" outlineLevel="0" max="16" min="16" style="0" width="13"/>
    <col collapsed="false" customWidth="true" hidden="false" outlineLevel="0" max="17" min="17" style="0" width="11"/>
    <col collapsed="false" customWidth="true" hidden="false" outlineLevel="0" max="18" min="18" style="0" width="14"/>
    <col collapsed="false" customWidth="true" hidden="false" outlineLevel="0" max="19" min="19" style="0" width="36"/>
    <col collapsed="false" customWidth="true" hidden="false" outlineLevel="0" max="20" min="20" style="0" width="13"/>
    <col collapsed="false" customWidth="true" hidden="false" outlineLevel="0" max="21" min="21" style="0" width="10"/>
    <col collapsed="false" customWidth="true" hidden="false" outlineLevel="0" max="22" min="22" style="0" width="16"/>
  </cols>
  <sheetData>
    <row r="1" customFormat="false" ht="31.5" hidden="false" customHeight="true" outlineLevel="0" collapsed="false">
      <c r="A1" s="9" t="s">
        <v>27</v>
      </c>
      <c r="B1" s="9" t="s">
        <v>28</v>
      </c>
      <c r="C1" s="9" t="s">
        <v>29</v>
      </c>
      <c r="D1" s="9" t="s">
        <v>30</v>
      </c>
      <c r="E1" s="9" t="s">
        <v>31</v>
      </c>
      <c r="F1" s="9" t="s">
        <v>32</v>
      </c>
      <c r="G1" s="9" t="s">
        <v>33</v>
      </c>
      <c r="H1" s="9" t="s">
        <v>34</v>
      </c>
      <c r="I1" s="9" t="s">
        <v>35</v>
      </c>
      <c r="J1" s="9" t="s">
        <v>36</v>
      </c>
      <c r="K1" s="9" t="s">
        <v>37</v>
      </c>
      <c r="L1" s="9" t="s">
        <v>38</v>
      </c>
      <c r="M1" s="9" t="s">
        <v>39</v>
      </c>
      <c r="N1" s="9" t="s">
        <v>40</v>
      </c>
      <c r="O1" s="9" t="s">
        <v>41</v>
      </c>
      <c r="P1" s="9" t="s">
        <v>3</v>
      </c>
      <c r="Q1" s="9" t="s">
        <v>42</v>
      </c>
      <c r="R1" s="9" t="s">
        <v>19</v>
      </c>
      <c r="S1" s="9" t="s">
        <v>43</v>
      </c>
      <c r="T1" s="9" t="s">
        <v>44</v>
      </c>
      <c r="U1" s="9" t="s">
        <v>45</v>
      </c>
      <c r="V1" s="9" t="s">
        <v>46</v>
      </c>
    </row>
    <row r="2" customFormat="false" ht="23.85" hidden="false" customHeight="false" outlineLevel="0" collapsed="false">
      <c r="A2" s="10" t="s">
        <v>615</v>
      </c>
      <c r="B2" s="11" t="s">
        <v>616</v>
      </c>
      <c r="C2" s="10" t="s">
        <v>617</v>
      </c>
      <c r="D2" s="10" t="s">
        <v>283</v>
      </c>
      <c r="E2" s="10" t="s">
        <v>618</v>
      </c>
      <c r="F2" s="10" t="s">
        <v>52</v>
      </c>
      <c r="G2" s="10"/>
      <c r="H2" s="10" t="s">
        <v>598</v>
      </c>
      <c r="I2" s="10"/>
      <c r="J2" s="10"/>
      <c r="K2" s="10" t="s">
        <v>220</v>
      </c>
      <c r="L2" s="10" t="s">
        <v>344</v>
      </c>
      <c r="M2" s="10" t="s">
        <v>222</v>
      </c>
      <c r="N2" s="14" t="n">
        <f aca="false">INDEX(Settings!$B$4:$B$10,MATCH(M2,Settings!$A$4:$A$10,0))</f>
        <v>1800</v>
      </c>
      <c r="O2" s="15" t="n">
        <f aca="false">IF(E2="A",IF(I2&gt;=2022,Settings!$B$13,Settings!$B$14),IF(E2="B",Settings!$B$15,Settings!$B$16))+IF(F2="S",Settings!$B$17,0)</f>
        <v>0.04</v>
      </c>
      <c r="P2" s="14" t="n">
        <f aca="false">N2*O2</f>
        <v>72</v>
      </c>
      <c r="Q2" s="16" t="n">
        <f aca="false">P2*INDEX(Settings!$B$20:$B$22,MATCH(F2,Settings!$A$20:$A$22,0))</f>
        <v>43.2</v>
      </c>
      <c r="R2" s="10" t="s">
        <v>600</v>
      </c>
      <c r="S2" s="10" t="s">
        <v>619</v>
      </c>
      <c r="T2" s="10" t="s">
        <v>601</v>
      </c>
      <c r="U2" s="10" t="s">
        <v>602</v>
      </c>
      <c r="V2" s="10" t="s">
        <v>62</v>
      </c>
    </row>
    <row r="3" customFormat="false" ht="35.05" hidden="false" customHeight="false" outlineLevel="0" collapsed="false">
      <c r="A3" s="10" t="s">
        <v>620</v>
      </c>
      <c r="B3" s="11" t="s">
        <v>621</v>
      </c>
      <c r="C3" s="10" t="s">
        <v>389</v>
      </c>
      <c r="D3" s="10" t="s">
        <v>50</v>
      </c>
      <c r="E3" s="10" t="s">
        <v>618</v>
      </c>
      <c r="F3" s="10" t="s">
        <v>52</v>
      </c>
      <c r="G3" s="13" t="s">
        <v>622</v>
      </c>
      <c r="H3" s="10" t="s">
        <v>623</v>
      </c>
      <c r="I3" s="10" t="n">
        <v>2026</v>
      </c>
      <c r="J3" s="10" t="s">
        <v>203</v>
      </c>
      <c r="K3" s="10" t="s">
        <v>624</v>
      </c>
      <c r="L3" s="10" t="s">
        <v>344</v>
      </c>
      <c r="M3" s="10" t="s">
        <v>222</v>
      </c>
      <c r="N3" s="14" t="n">
        <f aca="false">INDEX(Settings!$B$4:$B$10,MATCH(M3,Settings!$A$4:$A$10,0))</f>
        <v>1800</v>
      </c>
      <c r="O3" s="15" t="n">
        <f aca="false">IF(E3="A",IF(I3&gt;=2022,Settings!$B$13,Settings!$B$14),IF(E3="B",Settings!$B$15,Settings!$B$16))+IF(F3="S",Settings!$B$17,0)</f>
        <v>0.04</v>
      </c>
      <c r="P3" s="14" t="n">
        <f aca="false">N3*O3</f>
        <v>72</v>
      </c>
      <c r="Q3" s="16" t="n">
        <f aca="false">P3*INDEX(Settings!$B$20:$B$22,MATCH(F3,Settings!$A$20:$A$22,0))</f>
        <v>43.2</v>
      </c>
      <c r="R3" s="10" t="s">
        <v>600</v>
      </c>
      <c r="S3" s="10" t="s">
        <v>619</v>
      </c>
      <c r="T3" s="10" t="s">
        <v>601</v>
      </c>
      <c r="U3" s="10" t="s">
        <v>602</v>
      </c>
      <c r="V3" s="10" t="s">
        <v>62</v>
      </c>
    </row>
    <row r="4" customFormat="false" ht="23.85" hidden="false" customHeight="false" outlineLevel="0" collapsed="false">
      <c r="A4" s="10" t="s">
        <v>625</v>
      </c>
      <c r="B4" s="11" t="s">
        <v>626</v>
      </c>
      <c r="C4" s="10" t="s">
        <v>389</v>
      </c>
      <c r="D4" s="10" t="s">
        <v>283</v>
      </c>
      <c r="E4" s="10" t="s">
        <v>618</v>
      </c>
      <c r="F4" s="10" t="s">
        <v>52</v>
      </c>
      <c r="G4" s="10"/>
      <c r="H4" s="10" t="s">
        <v>598</v>
      </c>
      <c r="I4" s="10"/>
      <c r="J4" s="10"/>
      <c r="K4" s="10" t="s">
        <v>391</v>
      </c>
      <c r="L4" s="10" t="s">
        <v>344</v>
      </c>
      <c r="M4" s="10" t="s">
        <v>222</v>
      </c>
      <c r="N4" s="14" t="n">
        <f aca="false">INDEX(Settings!$B$4:$B$10,MATCH(M4,Settings!$A$4:$A$10,0))</f>
        <v>1800</v>
      </c>
      <c r="O4" s="15" t="n">
        <f aca="false">IF(E4="A",IF(I4&gt;=2022,Settings!$B$13,Settings!$B$14),IF(E4="B",Settings!$B$15,Settings!$B$16))+IF(F4="S",Settings!$B$17,0)</f>
        <v>0.04</v>
      </c>
      <c r="P4" s="14" t="n">
        <f aca="false">N4*O4</f>
        <v>72</v>
      </c>
      <c r="Q4" s="16" t="n">
        <f aca="false">P4*INDEX(Settings!$B$20:$B$22,MATCH(F4,Settings!$A$20:$A$22,0))</f>
        <v>43.2</v>
      </c>
      <c r="R4" s="10" t="s">
        <v>600</v>
      </c>
      <c r="S4" s="10" t="s">
        <v>619</v>
      </c>
      <c r="T4" s="10" t="s">
        <v>601</v>
      </c>
      <c r="U4" s="10" t="s">
        <v>602</v>
      </c>
      <c r="V4" s="10" t="s">
        <v>62</v>
      </c>
    </row>
    <row r="5" customFormat="false" ht="23.85" hidden="false" customHeight="false" outlineLevel="0" collapsed="false">
      <c r="A5" s="10" t="s">
        <v>627</v>
      </c>
      <c r="B5" s="11" t="s">
        <v>628</v>
      </c>
      <c r="C5" s="10" t="s">
        <v>617</v>
      </c>
      <c r="D5" s="10" t="s">
        <v>283</v>
      </c>
      <c r="E5" s="10" t="s">
        <v>618</v>
      </c>
      <c r="F5" s="10" t="s">
        <v>52</v>
      </c>
      <c r="G5" s="10"/>
      <c r="H5" s="10" t="s">
        <v>598</v>
      </c>
      <c r="I5" s="10"/>
      <c r="J5" s="10"/>
      <c r="K5" s="10" t="s">
        <v>220</v>
      </c>
      <c r="L5" s="10" t="s">
        <v>344</v>
      </c>
      <c r="M5" s="10" t="s">
        <v>222</v>
      </c>
      <c r="N5" s="14" t="n">
        <f aca="false">INDEX(Settings!$B$4:$B$10,MATCH(M5,Settings!$A$4:$A$10,0))</f>
        <v>1800</v>
      </c>
      <c r="O5" s="15" t="n">
        <f aca="false">IF(E5="A",IF(I5&gt;=2022,Settings!$B$13,Settings!$B$14),IF(E5="B",Settings!$B$15,Settings!$B$16))+IF(F5="S",Settings!$B$17,0)</f>
        <v>0.04</v>
      </c>
      <c r="P5" s="14" t="n">
        <f aca="false">N5*O5</f>
        <v>72</v>
      </c>
      <c r="Q5" s="16" t="n">
        <f aca="false">P5*INDEX(Settings!$B$20:$B$22,MATCH(F5,Settings!$A$20:$A$22,0))</f>
        <v>43.2</v>
      </c>
      <c r="R5" s="10" t="s">
        <v>600</v>
      </c>
      <c r="S5" s="10" t="s">
        <v>619</v>
      </c>
      <c r="T5" s="10" t="s">
        <v>601</v>
      </c>
      <c r="U5" s="10" t="s">
        <v>602</v>
      </c>
      <c r="V5" s="10" t="s">
        <v>62</v>
      </c>
    </row>
    <row r="6" customFormat="false" ht="23.85" hidden="false" customHeight="false" outlineLevel="0" collapsed="false">
      <c r="A6" s="10" t="s">
        <v>629</v>
      </c>
      <c r="B6" s="11" t="s">
        <v>630</v>
      </c>
      <c r="C6" s="10" t="s">
        <v>450</v>
      </c>
      <c r="D6" s="10" t="s">
        <v>283</v>
      </c>
      <c r="E6" s="10" t="s">
        <v>618</v>
      </c>
      <c r="F6" s="10" t="s">
        <v>52</v>
      </c>
      <c r="G6" s="10"/>
      <c r="H6" s="10" t="s">
        <v>598</v>
      </c>
      <c r="I6" s="10"/>
      <c r="J6" s="10"/>
      <c r="K6" s="10" t="s">
        <v>220</v>
      </c>
      <c r="L6" s="10" t="s">
        <v>344</v>
      </c>
      <c r="M6" s="10" t="s">
        <v>222</v>
      </c>
      <c r="N6" s="14" t="n">
        <f aca="false">INDEX(Settings!$B$4:$B$10,MATCH(M6,Settings!$A$4:$A$10,0))</f>
        <v>1800</v>
      </c>
      <c r="O6" s="15" t="n">
        <f aca="false">IF(E6="A",IF(I6&gt;=2022,Settings!$B$13,Settings!$B$14),IF(E6="B",Settings!$B$15,Settings!$B$16))+IF(F6="S",Settings!$B$17,0)</f>
        <v>0.04</v>
      </c>
      <c r="P6" s="14" t="n">
        <f aca="false">N6*O6</f>
        <v>72</v>
      </c>
      <c r="Q6" s="16" t="n">
        <f aca="false">P6*INDEX(Settings!$B$20:$B$22,MATCH(F6,Settings!$A$20:$A$22,0))</f>
        <v>43.2</v>
      </c>
      <c r="R6" s="10" t="s">
        <v>600</v>
      </c>
      <c r="S6" s="10" t="s">
        <v>619</v>
      </c>
      <c r="T6" s="10" t="s">
        <v>601</v>
      </c>
      <c r="U6" s="10" t="s">
        <v>602</v>
      </c>
      <c r="V6" s="10" t="s">
        <v>62</v>
      </c>
    </row>
    <row r="7" customFormat="false" ht="35.05" hidden="false" customHeight="false" outlineLevel="0" collapsed="false">
      <c r="A7" s="10" t="s">
        <v>631</v>
      </c>
      <c r="B7" s="11" t="s">
        <v>632</v>
      </c>
      <c r="C7" s="10" t="s">
        <v>389</v>
      </c>
      <c r="D7" s="10" t="s">
        <v>50</v>
      </c>
      <c r="E7" s="10" t="s">
        <v>618</v>
      </c>
      <c r="F7" s="10" t="s">
        <v>52</v>
      </c>
      <c r="G7" s="13" t="s">
        <v>622</v>
      </c>
      <c r="H7" s="10" t="s">
        <v>623</v>
      </c>
      <c r="I7" s="10" t="n">
        <v>2026</v>
      </c>
      <c r="J7" s="10" t="s">
        <v>203</v>
      </c>
      <c r="K7" s="10" t="s">
        <v>624</v>
      </c>
      <c r="L7" s="10" t="s">
        <v>344</v>
      </c>
      <c r="M7" s="10" t="s">
        <v>222</v>
      </c>
      <c r="N7" s="14" t="n">
        <f aca="false">INDEX(Settings!$B$4:$B$10,MATCH(M7,Settings!$A$4:$A$10,0))</f>
        <v>1800</v>
      </c>
      <c r="O7" s="15" t="n">
        <f aca="false">IF(E7="A",IF(I7&gt;=2022,Settings!$B$13,Settings!$B$14),IF(E7="B",Settings!$B$15,Settings!$B$16))+IF(F7="S",Settings!$B$17,0)</f>
        <v>0.04</v>
      </c>
      <c r="P7" s="14" t="n">
        <f aca="false">N7*O7</f>
        <v>72</v>
      </c>
      <c r="Q7" s="16" t="n">
        <f aca="false">P7*INDEX(Settings!$B$20:$B$22,MATCH(F7,Settings!$A$20:$A$22,0))</f>
        <v>43.2</v>
      </c>
      <c r="R7" s="10" t="s">
        <v>600</v>
      </c>
      <c r="S7" s="10" t="s">
        <v>619</v>
      </c>
      <c r="T7" s="10" t="s">
        <v>601</v>
      </c>
      <c r="U7" s="10" t="s">
        <v>602</v>
      </c>
      <c r="V7" s="10" t="s">
        <v>62</v>
      </c>
    </row>
    <row r="8" customFormat="false" ht="35.05" hidden="false" customHeight="false" outlineLevel="0" collapsed="false">
      <c r="A8" s="10" t="s">
        <v>633</v>
      </c>
      <c r="B8" s="11" t="s">
        <v>634</v>
      </c>
      <c r="C8" s="10" t="s">
        <v>389</v>
      </c>
      <c r="D8" s="10" t="s">
        <v>50</v>
      </c>
      <c r="E8" s="10" t="s">
        <v>618</v>
      </c>
      <c r="F8" s="10" t="s">
        <v>52</v>
      </c>
      <c r="G8" s="13" t="s">
        <v>622</v>
      </c>
      <c r="H8" s="10" t="s">
        <v>623</v>
      </c>
      <c r="I8" s="10" t="n">
        <v>2026</v>
      </c>
      <c r="J8" s="10" t="s">
        <v>203</v>
      </c>
      <c r="K8" s="10" t="s">
        <v>624</v>
      </c>
      <c r="L8" s="10" t="s">
        <v>344</v>
      </c>
      <c r="M8" s="10" t="s">
        <v>222</v>
      </c>
      <c r="N8" s="14" t="n">
        <f aca="false">INDEX(Settings!$B$4:$B$10,MATCH(M8,Settings!$A$4:$A$10,0))</f>
        <v>1800</v>
      </c>
      <c r="O8" s="15" t="n">
        <f aca="false">IF(E8="A",IF(I8&gt;=2022,Settings!$B$13,Settings!$B$14),IF(E8="B",Settings!$B$15,Settings!$B$16))+IF(F8="S",Settings!$B$17,0)</f>
        <v>0.04</v>
      </c>
      <c r="P8" s="14" t="n">
        <f aca="false">N8*O8</f>
        <v>72</v>
      </c>
      <c r="Q8" s="16" t="n">
        <f aca="false">P8*INDEX(Settings!$B$20:$B$22,MATCH(F8,Settings!$A$20:$A$22,0))</f>
        <v>43.2</v>
      </c>
      <c r="R8" s="10" t="s">
        <v>600</v>
      </c>
      <c r="S8" s="10" t="s">
        <v>619</v>
      </c>
      <c r="T8" s="10" t="s">
        <v>601</v>
      </c>
      <c r="U8" s="10" t="s">
        <v>602</v>
      </c>
      <c r="V8" s="10" t="s">
        <v>62</v>
      </c>
    </row>
    <row r="9" customFormat="false" ht="23.85" hidden="false" customHeight="false" outlineLevel="0" collapsed="false">
      <c r="A9" s="10" t="s">
        <v>635</v>
      </c>
      <c r="B9" s="11" t="s">
        <v>636</v>
      </c>
      <c r="C9" s="10" t="s">
        <v>637</v>
      </c>
      <c r="D9" s="10" t="s">
        <v>15</v>
      </c>
      <c r="E9" s="10" t="s">
        <v>618</v>
      </c>
      <c r="F9" s="10" t="s">
        <v>52</v>
      </c>
      <c r="G9" s="10"/>
      <c r="H9" s="10" t="s">
        <v>598</v>
      </c>
      <c r="I9" s="10"/>
      <c r="J9" s="10"/>
      <c r="K9" s="10" t="s">
        <v>220</v>
      </c>
      <c r="L9" s="10" t="s">
        <v>344</v>
      </c>
      <c r="M9" s="10" t="s">
        <v>222</v>
      </c>
      <c r="N9" s="14" t="n">
        <f aca="false">INDEX(Settings!$B$4:$B$10,MATCH(M9,Settings!$A$4:$A$10,0))</f>
        <v>1800</v>
      </c>
      <c r="O9" s="15" t="n">
        <f aca="false">IF(E9="A",IF(I9&gt;=2022,Settings!$B$13,Settings!$B$14),IF(E9="B",Settings!$B$15,Settings!$B$16))+IF(F9="S",Settings!$B$17,0)</f>
        <v>0.04</v>
      </c>
      <c r="P9" s="14" t="n">
        <f aca="false">N9*O9</f>
        <v>72</v>
      </c>
      <c r="Q9" s="16" t="n">
        <f aca="false">P9*INDEX(Settings!$B$20:$B$22,MATCH(F9,Settings!$A$20:$A$22,0))</f>
        <v>43.2</v>
      </c>
      <c r="R9" s="10" t="s">
        <v>600</v>
      </c>
      <c r="S9" s="10" t="s">
        <v>619</v>
      </c>
      <c r="T9" s="10" t="s">
        <v>601</v>
      </c>
      <c r="U9" s="10" t="s">
        <v>602</v>
      </c>
      <c r="V9" s="10" t="s">
        <v>62</v>
      </c>
    </row>
    <row r="10" customFormat="false" ht="23.85" hidden="false" customHeight="false" outlineLevel="0" collapsed="false">
      <c r="A10" s="10" t="s">
        <v>638</v>
      </c>
      <c r="B10" s="11" t="s">
        <v>639</v>
      </c>
      <c r="C10" s="10" t="s">
        <v>640</v>
      </c>
      <c r="D10" s="10" t="s">
        <v>12</v>
      </c>
      <c r="E10" s="10" t="s">
        <v>618</v>
      </c>
      <c r="F10" s="10" t="s">
        <v>52</v>
      </c>
      <c r="G10" s="10"/>
      <c r="H10" s="10" t="s">
        <v>598</v>
      </c>
      <c r="I10" s="10"/>
      <c r="J10" s="10"/>
      <c r="K10" s="10" t="s">
        <v>204</v>
      </c>
      <c r="L10" s="10" t="s">
        <v>344</v>
      </c>
      <c r="M10" s="10" t="s">
        <v>206</v>
      </c>
      <c r="N10" s="14" t="n">
        <f aca="false">INDEX(Settings!$B$4:$B$10,MATCH(M10,Settings!$A$4:$A$10,0))</f>
        <v>4800</v>
      </c>
      <c r="O10" s="15" t="n">
        <f aca="false">IF(E10="A",IF(I10&gt;=2022,Settings!$B$13,Settings!$B$14),IF(E10="B",Settings!$B$15,Settings!$B$16))+IF(F10="S",Settings!$B$17,0)</f>
        <v>0.04</v>
      </c>
      <c r="P10" s="14" t="n">
        <f aca="false">N10*O10</f>
        <v>192</v>
      </c>
      <c r="Q10" s="16" t="n">
        <f aca="false">P10*INDEX(Settings!$B$20:$B$22,MATCH(F10,Settings!$A$20:$A$22,0))</f>
        <v>115.2</v>
      </c>
      <c r="R10" s="10" t="s">
        <v>600</v>
      </c>
      <c r="S10" s="10" t="s">
        <v>619</v>
      </c>
      <c r="T10" s="10" t="s">
        <v>601</v>
      </c>
      <c r="U10" s="10" t="s">
        <v>602</v>
      </c>
      <c r="V10" s="10" t="s">
        <v>62</v>
      </c>
    </row>
    <row r="11" customFormat="false" ht="23.85" hidden="false" customHeight="false" outlineLevel="0" collapsed="false">
      <c r="A11" s="10" t="s">
        <v>641</v>
      </c>
      <c r="B11" s="11" t="s">
        <v>642</v>
      </c>
      <c r="C11" s="10" t="s">
        <v>643</v>
      </c>
      <c r="D11" s="10" t="s">
        <v>15</v>
      </c>
      <c r="E11" s="10" t="s">
        <v>618</v>
      </c>
      <c r="F11" s="10" t="s">
        <v>52</v>
      </c>
      <c r="G11" s="10"/>
      <c r="H11" s="10" t="s">
        <v>598</v>
      </c>
      <c r="I11" s="10"/>
      <c r="J11" s="10"/>
      <c r="K11" s="10" t="s">
        <v>204</v>
      </c>
      <c r="L11" s="10" t="s">
        <v>344</v>
      </c>
      <c r="M11" s="10" t="s">
        <v>206</v>
      </c>
      <c r="N11" s="14" t="n">
        <f aca="false">INDEX(Settings!$B$4:$B$10,MATCH(M11,Settings!$A$4:$A$10,0))</f>
        <v>4800</v>
      </c>
      <c r="O11" s="15" t="n">
        <f aca="false">IF(E11="A",IF(I11&gt;=2022,Settings!$B$13,Settings!$B$14),IF(E11="B",Settings!$B$15,Settings!$B$16))+IF(F11="S",Settings!$B$17,0)</f>
        <v>0.04</v>
      </c>
      <c r="P11" s="14" t="n">
        <f aca="false">N11*O11</f>
        <v>192</v>
      </c>
      <c r="Q11" s="16" t="n">
        <f aca="false">P11*INDEX(Settings!$B$20:$B$22,MATCH(F11,Settings!$A$20:$A$22,0))</f>
        <v>115.2</v>
      </c>
      <c r="R11" s="10" t="s">
        <v>600</v>
      </c>
      <c r="S11" s="10" t="s">
        <v>619</v>
      </c>
      <c r="T11" s="10" t="s">
        <v>601</v>
      </c>
      <c r="U11" s="10" t="s">
        <v>602</v>
      </c>
      <c r="V11" s="10" t="s">
        <v>62</v>
      </c>
    </row>
    <row r="12" customFormat="false" ht="23.85" hidden="false" customHeight="false" outlineLevel="0" collapsed="false">
      <c r="A12" s="10" t="s">
        <v>644</v>
      </c>
      <c r="B12" s="11" t="s">
        <v>645</v>
      </c>
      <c r="C12" s="10" t="s">
        <v>199</v>
      </c>
      <c r="D12" s="10" t="s">
        <v>283</v>
      </c>
      <c r="E12" s="10" t="s">
        <v>618</v>
      </c>
      <c r="F12" s="10" t="s">
        <v>52</v>
      </c>
      <c r="G12" s="10"/>
      <c r="H12" s="10" t="s">
        <v>598</v>
      </c>
      <c r="I12" s="10"/>
      <c r="J12" s="10"/>
      <c r="K12" s="10" t="s">
        <v>204</v>
      </c>
      <c r="L12" s="10" t="s">
        <v>344</v>
      </c>
      <c r="M12" s="10" t="s">
        <v>206</v>
      </c>
      <c r="N12" s="14" t="n">
        <f aca="false">INDEX(Settings!$B$4:$B$10,MATCH(M12,Settings!$A$4:$A$10,0))</f>
        <v>4800</v>
      </c>
      <c r="O12" s="15" t="n">
        <f aca="false">IF(E12="A",IF(I12&gt;=2022,Settings!$B$13,Settings!$B$14),IF(E12="B",Settings!$B$15,Settings!$B$16))+IF(F12="S",Settings!$B$17,0)</f>
        <v>0.04</v>
      </c>
      <c r="P12" s="14" t="n">
        <f aca="false">N12*O12</f>
        <v>192</v>
      </c>
      <c r="Q12" s="16" t="n">
        <f aca="false">P12*INDEX(Settings!$B$20:$B$22,MATCH(F12,Settings!$A$20:$A$22,0))</f>
        <v>115.2</v>
      </c>
      <c r="R12" s="10" t="s">
        <v>600</v>
      </c>
      <c r="S12" s="10" t="s">
        <v>619</v>
      </c>
      <c r="T12" s="10" t="s">
        <v>601</v>
      </c>
      <c r="U12" s="10" t="s">
        <v>602</v>
      </c>
      <c r="V12" s="10" t="s">
        <v>62</v>
      </c>
    </row>
    <row r="13" customFormat="false" ht="23.85" hidden="false" customHeight="false" outlineLevel="0" collapsed="false">
      <c r="A13" s="10" t="s">
        <v>646</v>
      </c>
      <c r="B13" s="11" t="s">
        <v>647</v>
      </c>
      <c r="C13" s="10" t="s">
        <v>199</v>
      </c>
      <c r="D13" s="10" t="s">
        <v>283</v>
      </c>
      <c r="E13" s="10" t="s">
        <v>618</v>
      </c>
      <c r="F13" s="10" t="s">
        <v>52</v>
      </c>
      <c r="G13" s="10"/>
      <c r="H13" s="10" t="s">
        <v>598</v>
      </c>
      <c r="I13" s="10"/>
      <c r="J13" s="10"/>
      <c r="K13" s="10" t="s">
        <v>204</v>
      </c>
      <c r="L13" s="10" t="s">
        <v>344</v>
      </c>
      <c r="M13" s="10" t="s">
        <v>206</v>
      </c>
      <c r="N13" s="14" t="n">
        <f aca="false">INDEX(Settings!$B$4:$B$10,MATCH(M13,Settings!$A$4:$A$10,0))</f>
        <v>4800</v>
      </c>
      <c r="O13" s="15" t="n">
        <f aca="false">IF(E13="A",IF(I13&gt;=2022,Settings!$B$13,Settings!$B$14),IF(E13="B",Settings!$B$15,Settings!$B$16))+IF(F13="S",Settings!$B$17,0)</f>
        <v>0.04</v>
      </c>
      <c r="P13" s="14" t="n">
        <f aca="false">N13*O13</f>
        <v>192</v>
      </c>
      <c r="Q13" s="16" t="n">
        <f aca="false">P13*INDEX(Settings!$B$20:$B$22,MATCH(F13,Settings!$A$20:$A$22,0))</f>
        <v>115.2</v>
      </c>
      <c r="R13" s="10" t="s">
        <v>600</v>
      </c>
      <c r="S13" s="10" t="s">
        <v>619</v>
      </c>
      <c r="T13" s="10" t="s">
        <v>601</v>
      </c>
      <c r="U13" s="10" t="s">
        <v>602</v>
      </c>
      <c r="V13" s="10" t="s">
        <v>62</v>
      </c>
    </row>
    <row r="14" customFormat="false" ht="23.85" hidden="false" customHeight="false" outlineLevel="0" collapsed="false">
      <c r="A14" s="10" t="s">
        <v>648</v>
      </c>
      <c r="B14" s="11" t="s">
        <v>649</v>
      </c>
      <c r="C14" s="10" t="s">
        <v>640</v>
      </c>
      <c r="D14" s="10" t="s">
        <v>12</v>
      </c>
      <c r="E14" s="10" t="s">
        <v>618</v>
      </c>
      <c r="F14" s="10" t="s">
        <v>52</v>
      </c>
      <c r="G14" s="10"/>
      <c r="H14" s="10" t="s">
        <v>598</v>
      </c>
      <c r="I14" s="10"/>
      <c r="J14" s="10"/>
      <c r="K14" s="10" t="s">
        <v>204</v>
      </c>
      <c r="L14" s="10" t="s">
        <v>344</v>
      </c>
      <c r="M14" s="10" t="s">
        <v>206</v>
      </c>
      <c r="N14" s="14" t="n">
        <f aca="false">INDEX(Settings!$B$4:$B$10,MATCH(M14,Settings!$A$4:$A$10,0))</f>
        <v>4800</v>
      </c>
      <c r="O14" s="15" t="n">
        <f aca="false">IF(E14="A",IF(I14&gt;=2022,Settings!$B$13,Settings!$B$14),IF(E14="B",Settings!$B$15,Settings!$B$16))+IF(F14="S",Settings!$B$17,0)</f>
        <v>0.04</v>
      </c>
      <c r="P14" s="14" t="n">
        <f aca="false">N14*O14</f>
        <v>192</v>
      </c>
      <c r="Q14" s="16" t="n">
        <f aca="false">P14*INDEX(Settings!$B$20:$B$22,MATCH(F14,Settings!$A$20:$A$22,0))</f>
        <v>115.2</v>
      </c>
      <c r="R14" s="10" t="s">
        <v>600</v>
      </c>
      <c r="S14" s="10" t="s">
        <v>619</v>
      </c>
      <c r="T14" s="10" t="s">
        <v>601</v>
      </c>
      <c r="U14" s="10" t="s">
        <v>602</v>
      </c>
      <c r="V14" s="10" t="s">
        <v>62</v>
      </c>
    </row>
    <row r="15" customFormat="false" ht="35.05" hidden="false" customHeight="false" outlineLevel="0" collapsed="false">
      <c r="A15" s="10" t="s">
        <v>650</v>
      </c>
      <c r="B15" s="11" t="s">
        <v>651</v>
      </c>
      <c r="C15" s="10" t="s">
        <v>389</v>
      </c>
      <c r="D15" s="10" t="s">
        <v>50</v>
      </c>
      <c r="E15" s="10" t="s">
        <v>618</v>
      </c>
      <c r="F15" s="10" t="s">
        <v>52</v>
      </c>
      <c r="G15" s="13" t="s">
        <v>622</v>
      </c>
      <c r="H15" s="10" t="s">
        <v>623</v>
      </c>
      <c r="I15" s="10" t="n">
        <v>2026</v>
      </c>
      <c r="J15" s="10" t="s">
        <v>203</v>
      </c>
      <c r="K15" s="10" t="s">
        <v>624</v>
      </c>
      <c r="L15" s="10" t="s">
        <v>344</v>
      </c>
      <c r="M15" s="10" t="s">
        <v>222</v>
      </c>
      <c r="N15" s="14" t="n">
        <f aca="false">INDEX(Settings!$B$4:$B$10,MATCH(M15,Settings!$A$4:$A$10,0))</f>
        <v>1800</v>
      </c>
      <c r="O15" s="15" t="n">
        <f aca="false">IF(E15="A",IF(I15&gt;=2022,Settings!$B$13,Settings!$B$14),IF(E15="B",Settings!$B$15,Settings!$B$16))+IF(F15="S",Settings!$B$17,0)</f>
        <v>0.04</v>
      </c>
      <c r="P15" s="14" t="n">
        <f aca="false">N15*O15</f>
        <v>72</v>
      </c>
      <c r="Q15" s="16" t="n">
        <f aca="false">P15*INDEX(Settings!$B$20:$B$22,MATCH(F15,Settings!$A$20:$A$22,0))</f>
        <v>43.2</v>
      </c>
      <c r="R15" s="10" t="s">
        <v>600</v>
      </c>
      <c r="S15" s="10" t="s">
        <v>619</v>
      </c>
      <c r="T15" s="10" t="s">
        <v>601</v>
      </c>
      <c r="U15" s="10" t="s">
        <v>602</v>
      </c>
      <c r="V15" s="10" t="s">
        <v>62</v>
      </c>
    </row>
    <row r="16" customFormat="false" ht="23.85" hidden="false" customHeight="false" outlineLevel="0" collapsed="false">
      <c r="A16" s="10" t="s">
        <v>652</v>
      </c>
      <c r="B16" s="11" t="s">
        <v>653</v>
      </c>
      <c r="C16" s="10" t="s">
        <v>643</v>
      </c>
      <c r="D16" s="10" t="s">
        <v>15</v>
      </c>
      <c r="E16" s="10" t="s">
        <v>618</v>
      </c>
      <c r="F16" s="10" t="s">
        <v>52</v>
      </c>
      <c r="G16" s="10"/>
      <c r="H16" s="10" t="s">
        <v>598</v>
      </c>
      <c r="I16" s="10"/>
      <c r="J16" s="10"/>
      <c r="K16" s="10" t="s">
        <v>204</v>
      </c>
      <c r="L16" s="10" t="s">
        <v>344</v>
      </c>
      <c r="M16" s="10" t="s">
        <v>206</v>
      </c>
      <c r="N16" s="14" t="n">
        <f aca="false">INDEX(Settings!$B$4:$B$10,MATCH(M16,Settings!$A$4:$A$10,0))</f>
        <v>4800</v>
      </c>
      <c r="O16" s="15" t="n">
        <f aca="false">IF(E16="A",IF(I16&gt;=2022,Settings!$B$13,Settings!$B$14),IF(E16="B",Settings!$B$15,Settings!$B$16))+IF(F16="S",Settings!$B$17,0)</f>
        <v>0.04</v>
      </c>
      <c r="P16" s="14" t="n">
        <f aca="false">N16*O16</f>
        <v>192</v>
      </c>
      <c r="Q16" s="16" t="n">
        <f aca="false">P16*INDEX(Settings!$B$20:$B$22,MATCH(F16,Settings!$A$20:$A$22,0))</f>
        <v>115.2</v>
      </c>
      <c r="R16" s="10" t="s">
        <v>600</v>
      </c>
      <c r="S16" s="10" t="s">
        <v>619</v>
      </c>
      <c r="T16" s="10" t="s">
        <v>601</v>
      </c>
      <c r="U16" s="10" t="s">
        <v>602</v>
      </c>
      <c r="V16" s="10" t="s">
        <v>62</v>
      </c>
    </row>
    <row r="17" customFormat="false" ht="23.85" hidden="false" customHeight="false" outlineLevel="0" collapsed="false">
      <c r="A17" s="10" t="s">
        <v>654</v>
      </c>
      <c r="B17" s="11" t="s">
        <v>655</v>
      </c>
      <c r="C17" s="10" t="s">
        <v>241</v>
      </c>
      <c r="D17" s="10" t="s">
        <v>283</v>
      </c>
      <c r="E17" s="10" t="s">
        <v>618</v>
      </c>
      <c r="F17" s="10" t="s">
        <v>52</v>
      </c>
      <c r="G17" s="10"/>
      <c r="H17" s="10" t="s">
        <v>598</v>
      </c>
      <c r="I17" s="10"/>
      <c r="J17" s="10"/>
      <c r="K17" s="10" t="s">
        <v>228</v>
      </c>
      <c r="L17" s="10" t="s">
        <v>344</v>
      </c>
      <c r="M17" s="10" t="s">
        <v>222</v>
      </c>
      <c r="N17" s="14" t="n">
        <f aca="false">INDEX(Settings!$B$4:$B$10,MATCH(M17,Settings!$A$4:$A$10,0))</f>
        <v>1800</v>
      </c>
      <c r="O17" s="15" t="n">
        <f aca="false">IF(E17="A",IF(I17&gt;=2022,Settings!$B$13,Settings!$B$14),IF(E17="B",Settings!$B$15,Settings!$B$16))+IF(F17="S",Settings!$B$17,0)</f>
        <v>0.04</v>
      </c>
      <c r="P17" s="14" t="n">
        <f aca="false">N17*O17</f>
        <v>72</v>
      </c>
      <c r="Q17" s="16" t="n">
        <f aca="false">P17*INDEX(Settings!$B$20:$B$22,MATCH(F17,Settings!$A$20:$A$22,0))</f>
        <v>43.2</v>
      </c>
      <c r="R17" s="10" t="s">
        <v>600</v>
      </c>
      <c r="S17" s="10" t="s">
        <v>619</v>
      </c>
      <c r="T17" s="10" t="s">
        <v>601</v>
      </c>
      <c r="U17" s="10" t="s">
        <v>602</v>
      </c>
      <c r="V17" s="10" t="s">
        <v>62</v>
      </c>
    </row>
    <row r="18" customFormat="false" ht="35.05" hidden="false" customHeight="false" outlineLevel="0" collapsed="false">
      <c r="A18" s="10" t="s">
        <v>656</v>
      </c>
      <c r="B18" s="11" t="s">
        <v>657</v>
      </c>
      <c r="C18" s="10" t="s">
        <v>389</v>
      </c>
      <c r="D18" s="10" t="s">
        <v>50</v>
      </c>
      <c r="E18" s="10" t="s">
        <v>618</v>
      </c>
      <c r="F18" s="10" t="s">
        <v>52</v>
      </c>
      <c r="G18" s="13" t="s">
        <v>622</v>
      </c>
      <c r="H18" s="10" t="s">
        <v>623</v>
      </c>
      <c r="I18" s="10" t="n">
        <v>2026</v>
      </c>
      <c r="J18" s="10" t="s">
        <v>203</v>
      </c>
      <c r="K18" s="10" t="s">
        <v>624</v>
      </c>
      <c r="L18" s="10" t="s">
        <v>344</v>
      </c>
      <c r="M18" s="10" t="s">
        <v>222</v>
      </c>
      <c r="N18" s="14" t="n">
        <f aca="false">INDEX(Settings!$B$4:$B$10,MATCH(M18,Settings!$A$4:$A$10,0))</f>
        <v>1800</v>
      </c>
      <c r="O18" s="15" t="n">
        <f aca="false">IF(E18="A",IF(I18&gt;=2022,Settings!$B$13,Settings!$B$14),IF(E18="B",Settings!$B$15,Settings!$B$16))+IF(F18="S",Settings!$B$17,0)</f>
        <v>0.04</v>
      </c>
      <c r="P18" s="14" t="n">
        <f aca="false">N18*O18</f>
        <v>72</v>
      </c>
      <c r="Q18" s="16" t="n">
        <f aca="false">P18*INDEX(Settings!$B$20:$B$22,MATCH(F18,Settings!$A$20:$A$22,0))</f>
        <v>43.2</v>
      </c>
      <c r="R18" s="10" t="s">
        <v>600</v>
      </c>
      <c r="S18" s="10" t="s">
        <v>619</v>
      </c>
      <c r="T18" s="10" t="s">
        <v>601</v>
      </c>
      <c r="U18" s="10" t="s">
        <v>602</v>
      </c>
      <c r="V18" s="10" t="s">
        <v>62</v>
      </c>
    </row>
    <row r="19" customFormat="false" ht="23.85" hidden="false" customHeight="false" outlineLevel="0" collapsed="false">
      <c r="A19" s="10" t="s">
        <v>658</v>
      </c>
      <c r="B19" s="11" t="s">
        <v>659</v>
      </c>
      <c r="C19" s="10" t="s">
        <v>660</v>
      </c>
      <c r="D19" s="10" t="s">
        <v>283</v>
      </c>
      <c r="E19" s="10" t="s">
        <v>618</v>
      </c>
      <c r="F19" s="10" t="s">
        <v>52</v>
      </c>
      <c r="G19" s="10"/>
      <c r="H19" s="10" t="s">
        <v>598</v>
      </c>
      <c r="I19" s="10"/>
      <c r="J19" s="10"/>
      <c r="K19" s="10" t="s">
        <v>220</v>
      </c>
      <c r="L19" s="10" t="s">
        <v>344</v>
      </c>
      <c r="M19" s="10" t="s">
        <v>222</v>
      </c>
      <c r="N19" s="14" t="n">
        <f aca="false">INDEX(Settings!$B$4:$B$10,MATCH(M19,Settings!$A$4:$A$10,0))</f>
        <v>1800</v>
      </c>
      <c r="O19" s="15" t="n">
        <f aca="false">IF(E19="A",IF(I19&gt;=2022,Settings!$B$13,Settings!$B$14),IF(E19="B",Settings!$B$15,Settings!$B$16))+IF(F19="S",Settings!$B$17,0)</f>
        <v>0.04</v>
      </c>
      <c r="P19" s="14" t="n">
        <f aca="false">N19*O19</f>
        <v>72</v>
      </c>
      <c r="Q19" s="16" t="n">
        <f aca="false">P19*INDEX(Settings!$B$20:$B$22,MATCH(F19,Settings!$A$20:$A$22,0))</f>
        <v>43.2</v>
      </c>
      <c r="R19" s="10" t="s">
        <v>600</v>
      </c>
      <c r="S19" s="10" t="s">
        <v>619</v>
      </c>
      <c r="T19" s="10" t="s">
        <v>601</v>
      </c>
      <c r="U19" s="10" t="s">
        <v>602</v>
      </c>
      <c r="V19" s="10" t="s">
        <v>62</v>
      </c>
    </row>
    <row r="20" customFormat="false" ht="23.85" hidden="false" customHeight="false" outlineLevel="0" collapsed="false">
      <c r="A20" s="10" t="s">
        <v>661</v>
      </c>
      <c r="B20" s="11" t="s">
        <v>662</v>
      </c>
      <c r="C20" s="10" t="s">
        <v>663</v>
      </c>
      <c r="D20" s="10" t="s">
        <v>283</v>
      </c>
      <c r="E20" s="10" t="s">
        <v>618</v>
      </c>
      <c r="F20" s="10" t="s">
        <v>52</v>
      </c>
      <c r="G20" s="10"/>
      <c r="H20" s="10" t="s">
        <v>598</v>
      </c>
      <c r="I20" s="10"/>
      <c r="J20" s="10"/>
      <c r="K20" s="10" t="s">
        <v>264</v>
      </c>
      <c r="L20" s="10" t="s">
        <v>344</v>
      </c>
      <c r="M20" s="10" t="s">
        <v>222</v>
      </c>
      <c r="N20" s="14" t="n">
        <f aca="false">INDEX(Settings!$B$4:$B$10,MATCH(M20,Settings!$A$4:$A$10,0))</f>
        <v>1800</v>
      </c>
      <c r="O20" s="15" t="n">
        <f aca="false">IF(E20="A",IF(I20&gt;=2022,Settings!$B$13,Settings!$B$14),IF(E20="B",Settings!$B$15,Settings!$B$16))+IF(F20="S",Settings!$B$17,0)</f>
        <v>0.04</v>
      </c>
      <c r="P20" s="14" t="n">
        <f aca="false">N20*O20</f>
        <v>72</v>
      </c>
      <c r="Q20" s="16" t="n">
        <f aca="false">P20*INDEX(Settings!$B$20:$B$22,MATCH(F20,Settings!$A$20:$A$22,0))</f>
        <v>43.2</v>
      </c>
      <c r="R20" s="10" t="s">
        <v>600</v>
      </c>
      <c r="S20" s="10" t="s">
        <v>619</v>
      </c>
      <c r="T20" s="10" t="s">
        <v>601</v>
      </c>
      <c r="U20" s="10" t="s">
        <v>602</v>
      </c>
      <c r="V20" s="10" t="s">
        <v>62</v>
      </c>
    </row>
    <row r="21" customFormat="false" ht="23.85" hidden="false" customHeight="false" outlineLevel="0" collapsed="false">
      <c r="A21" s="10" t="s">
        <v>664</v>
      </c>
      <c r="B21" s="11" t="s">
        <v>665</v>
      </c>
      <c r="C21" s="10" t="s">
        <v>666</v>
      </c>
      <c r="D21" s="10" t="s">
        <v>283</v>
      </c>
      <c r="E21" s="10" t="s">
        <v>618</v>
      </c>
      <c r="F21" s="10" t="s">
        <v>52</v>
      </c>
      <c r="G21" s="10"/>
      <c r="H21" s="10" t="s">
        <v>598</v>
      </c>
      <c r="I21" s="10"/>
      <c r="J21" s="10"/>
      <c r="K21" s="10" t="s">
        <v>220</v>
      </c>
      <c r="L21" s="10" t="s">
        <v>344</v>
      </c>
      <c r="M21" s="10" t="s">
        <v>222</v>
      </c>
      <c r="N21" s="14" t="n">
        <f aca="false">INDEX(Settings!$B$4:$B$10,MATCH(M21,Settings!$A$4:$A$10,0))</f>
        <v>1800</v>
      </c>
      <c r="O21" s="15" t="n">
        <f aca="false">IF(E21="A",IF(I21&gt;=2022,Settings!$B$13,Settings!$B$14),IF(E21="B",Settings!$B$15,Settings!$B$16))+IF(F21="S",Settings!$B$17,0)</f>
        <v>0.04</v>
      </c>
      <c r="P21" s="14" t="n">
        <f aca="false">N21*O21</f>
        <v>72</v>
      </c>
      <c r="Q21" s="16" t="n">
        <f aca="false">P21*INDEX(Settings!$B$20:$B$22,MATCH(F21,Settings!$A$20:$A$22,0))</f>
        <v>43.2</v>
      </c>
      <c r="R21" s="10" t="s">
        <v>600</v>
      </c>
      <c r="S21" s="10" t="s">
        <v>619</v>
      </c>
      <c r="T21" s="10" t="s">
        <v>601</v>
      </c>
      <c r="U21" s="10" t="s">
        <v>602</v>
      </c>
      <c r="V21" s="10" t="s">
        <v>62</v>
      </c>
    </row>
    <row r="22" customFormat="false" ht="23.85" hidden="false" customHeight="false" outlineLevel="0" collapsed="false">
      <c r="A22" s="10" t="s">
        <v>667</v>
      </c>
      <c r="B22" s="11" t="s">
        <v>668</v>
      </c>
      <c r="C22" s="10" t="s">
        <v>261</v>
      </c>
      <c r="D22" s="10" t="s">
        <v>13</v>
      </c>
      <c r="E22" s="10" t="s">
        <v>618</v>
      </c>
      <c r="F22" s="10" t="s">
        <v>52</v>
      </c>
      <c r="G22" s="10"/>
      <c r="H22" s="10" t="s">
        <v>598</v>
      </c>
      <c r="I22" s="10"/>
      <c r="J22" s="10"/>
      <c r="K22" s="10" t="s">
        <v>264</v>
      </c>
      <c r="L22" s="10" t="s">
        <v>344</v>
      </c>
      <c r="M22" s="10" t="s">
        <v>222</v>
      </c>
      <c r="N22" s="14" t="n">
        <f aca="false">INDEX(Settings!$B$4:$B$10,MATCH(M22,Settings!$A$4:$A$10,0))</f>
        <v>1800</v>
      </c>
      <c r="O22" s="15" t="n">
        <f aca="false">IF(E22="A",IF(I22&gt;=2022,Settings!$B$13,Settings!$B$14),IF(E22="B",Settings!$B$15,Settings!$B$16))+IF(F22="S",Settings!$B$17,0)</f>
        <v>0.04</v>
      </c>
      <c r="P22" s="14" t="n">
        <f aca="false">N22*O22</f>
        <v>72</v>
      </c>
      <c r="Q22" s="16" t="n">
        <f aca="false">P22*INDEX(Settings!$B$20:$B$22,MATCH(F22,Settings!$A$20:$A$22,0))</f>
        <v>43.2</v>
      </c>
      <c r="R22" s="10" t="s">
        <v>600</v>
      </c>
      <c r="S22" s="10" t="s">
        <v>619</v>
      </c>
      <c r="T22" s="10" t="s">
        <v>601</v>
      </c>
      <c r="U22" s="10" t="s">
        <v>602</v>
      </c>
      <c r="V22" s="10" t="s">
        <v>62</v>
      </c>
    </row>
    <row r="23" customFormat="false" ht="35.05" hidden="false" customHeight="false" outlineLevel="0" collapsed="false">
      <c r="A23" s="10" t="s">
        <v>669</v>
      </c>
      <c r="B23" s="11" t="s">
        <v>670</v>
      </c>
      <c r="C23" s="10" t="s">
        <v>389</v>
      </c>
      <c r="D23" s="10" t="s">
        <v>50</v>
      </c>
      <c r="E23" s="10" t="s">
        <v>618</v>
      </c>
      <c r="F23" s="10" t="s">
        <v>52</v>
      </c>
      <c r="G23" s="13" t="s">
        <v>622</v>
      </c>
      <c r="H23" s="10" t="s">
        <v>623</v>
      </c>
      <c r="I23" s="10" t="n">
        <v>2026</v>
      </c>
      <c r="J23" s="10" t="s">
        <v>203</v>
      </c>
      <c r="K23" s="10" t="s">
        <v>624</v>
      </c>
      <c r="L23" s="10" t="s">
        <v>344</v>
      </c>
      <c r="M23" s="10" t="s">
        <v>222</v>
      </c>
      <c r="N23" s="14" t="n">
        <f aca="false">INDEX(Settings!$B$4:$B$10,MATCH(M23,Settings!$A$4:$A$10,0))</f>
        <v>1800</v>
      </c>
      <c r="O23" s="15" t="n">
        <f aca="false">IF(E23="A",IF(I23&gt;=2022,Settings!$B$13,Settings!$B$14),IF(E23="B",Settings!$B$15,Settings!$B$16))+IF(F23="S",Settings!$B$17,0)</f>
        <v>0.04</v>
      </c>
      <c r="P23" s="14" t="n">
        <f aca="false">N23*O23</f>
        <v>72</v>
      </c>
      <c r="Q23" s="16" t="n">
        <f aca="false">P23*INDEX(Settings!$B$20:$B$22,MATCH(F23,Settings!$A$20:$A$22,0))</f>
        <v>43.2</v>
      </c>
      <c r="R23" s="10" t="s">
        <v>600</v>
      </c>
      <c r="S23" s="10" t="s">
        <v>619</v>
      </c>
      <c r="T23" s="10" t="s">
        <v>601</v>
      </c>
      <c r="U23" s="10" t="s">
        <v>602</v>
      </c>
      <c r="V23" s="10" t="s">
        <v>62</v>
      </c>
    </row>
    <row r="24" customFormat="false" ht="23.85" hidden="false" customHeight="false" outlineLevel="0" collapsed="false">
      <c r="A24" s="10" t="s">
        <v>671</v>
      </c>
      <c r="B24" s="11" t="s">
        <v>672</v>
      </c>
      <c r="C24" s="10" t="s">
        <v>450</v>
      </c>
      <c r="D24" s="10" t="s">
        <v>283</v>
      </c>
      <c r="E24" s="10" t="s">
        <v>618</v>
      </c>
      <c r="F24" s="10" t="s">
        <v>52</v>
      </c>
      <c r="G24" s="10"/>
      <c r="H24" s="10" t="s">
        <v>598</v>
      </c>
      <c r="I24" s="10"/>
      <c r="J24" s="10"/>
      <c r="K24" s="10" t="s">
        <v>220</v>
      </c>
      <c r="L24" s="10" t="s">
        <v>344</v>
      </c>
      <c r="M24" s="10" t="s">
        <v>222</v>
      </c>
      <c r="N24" s="14" t="n">
        <f aca="false">INDEX(Settings!$B$4:$B$10,MATCH(M24,Settings!$A$4:$A$10,0))</f>
        <v>1800</v>
      </c>
      <c r="O24" s="15" t="n">
        <f aca="false">IF(E24="A",IF(I24&gt;=2022,Settings!$B$13,Settings!$B$14),IF(E24="B",Settings!$B$15,Settings!$B$16))+IF(F24="S",Settings!$B$17,0)</f>
        <v>0.04</v>
      </c>
      <c r="P24" s="14" t="n">
        <f aca="false">N24*O24</f>
        <v>72</v>
      </c>
      <c r="Q24" s="16" t="n">
        <f aca="false">P24*INDEX(Settings!$B$20:$B$22,MATCH(F24,Settings!$A$20:$A$22,0))</f>
        <v>43.2</v>
      </c>
      <c r="R24" s="10" t="s">
        <v>600</v>
      </c>
      <c r="S24" s="10" t="s">
        <v>619</v>
      </c>
      <c r="T24" s="10" t="s">
        <v>601</v>
      </c>
      <c r="U24" s="10" t="s">
        <v>602</v>
      </c>
      <c r="V24" s="10" t="s">
        <v>62</v>
      </c>
    </row>
    <row r="25" customFormat="false" ht="23.85" hidden="false" customHeight="false" outlineLevel="0" collapsed="false">
      <c r="A25" s="10" t="s">
        <v>673</v>
      </c>
      <c r="B25" s="11" t="s">
        <v>674</v>
      </c>
      <c r="C25" s="10" t="s">
        <v>675</v>
      </c>
      <c r="D25" s="10" t="s">
        <v>283</v>
      </c>
      <c r="E25" s="10" t="s">
        <v>618</v>
      </c>
      <c r="F25" s="10" t="s">
        <v>52</v>
      </c>
      <c r="G25" s="10"/>
      <c r="H25" s="10" t="s">
        <v>598</v>
      </c>
      <c r="I25" s="10"/>
      <c r="J25" s="10"/>
      <c r="K25" s="10" t="s">
        <v>220</v>
      </c>
      <c r="L25" s="10" t="s">
        <v>344</v>
      </c>
      <c r="M25" s="10" t="s">
        <v>222</v>
      </c>
      <c r="N25" s="14" t="n">
        <f aca="false">INDEX(Settings!$B$4:$B$10,MATCH(M25,Settings!$A$4:$A$10,0))</f>
        <v>1800</v>
      </c>
      <c r="O25" s="15" t="n">
        <f aca="false">IF(E25="A",IF(I25&gt;=2022,Settings!$B$13,Settings!$B$14),IF(E25="B",Settings!$B$15,Settings!$B$16))+IF(F25="S",Settings!$B$17,0)</f>
        <v>0.04</v>
      </c>
      <c r="P25" s="14" t="n">
        <f aca="false">N25*O25</f>
        <v>72</v>
      </c>
      <c r="Q25" s="16" t="n">
        <f aca="false">P25*INDEX(Settings!$B$20:$B$22,MATCH(F25,Settings!$A$20:$A$22,0))</f>
        <v>43.2</v>
      </c>
      <c r="R25" s="10" t="s">
        <v>600</v>
      </c>
      <c r="S25" s="10" t="s">
        <v>619</v>
      </c>
      <c r="T25" s="10" t="s">
        <v>601</v>
      </c>
      <c r="U25" s="10" t="s">
        <v>602</v>
      </c>
      <c r="V25" s="10" t="s">
        <v>62</v>
      </c>
    </row>
    <row r="26" customFormat="false" ht="57.45" hidden="false" customHeight="false" outlineLevel="0" collapsed="false">
      <c r="A26" s="10" t="s">
        <v>676</v>
      </c>
      <c r="B26" s="11" t="s">
        <v>677</v>
      </c>
      <c r="C26" s="10" t="s">
        <v>348</v>
      </c>
      <c r="D26" s="10" t="s">
        <v>496</v>
      </c>
      <c r="E26" s="10" t="s">
        <v>618</v>
      </c>
      <c r="F26" s="10" t="s">
        <v>52</v>
      </c>
      <c r="G26" s="13" t="s">
        <v>678</v>
      </c>
      <c r="H26" s="10" t="s">
        <v>679</v>
      </c>
      <c r="I26" s="10" t="n">
        <v>2022</v>
      </c>
      <c r="J26" s="10" t="s">
        <v>203</v>
      </c>
      <c r="K26" s="10" t="s">
        <v>350</v>
      </c>
      <c r="L26" s="10" t="s">
        <v>344</v>
      </c>
      <c r="M26" s="10" t="s">
        <v>352</v>
      </c>
      <c r="N26" s="14" t="n">
        <f aca="false">INDEX(Settings!$B$4:$B$10,MATCH(M26,Settings!$A$4:$A$10,0))</f>
        <v>1500</v>
      </c>
      <c r="O26" s="15" t="n">
        <f aca="false">IF(E26="A",IF(I26&gt;=2022,Settings!$B$13,Settings!$B$14),IF(E26="B",Settings!$B$15,Settings!$B$16))+IF(F26="S",Settings!$B$17,0)</f>
        <v>0.04</v>
      </c>
      <c r="P26" s="14" t="n">
        <f aca="false">N26*O26</f>
        <v>60</v>
      </c>
      <c r="Q26" s="16" t="n">
        <f aca="false">P26*INDEX(Settings!$B$20:$B$22,MATCH(F26,Settings!$A$20:$A$22,0))</f>
        <v>36</v>
      </c>
      <c r="R26" s="10" t="s">
        <v>600</v>
      </c>
      <c r="S26" s="10" t="s">
        <v>619</v>
      </c>
      <c r="T26" s="10" t="s">
        <v>601</v>
      </c>
      <c r="U26" s="10" t="s">
        <v>602</v>
      </c>
      <c r="V26" s="10" t="s">
        <v>500</v>
      </c>
    </row>
    <row r="27" customFormat="false" ht="23.85" hidden="false" customHeight="false" outlineLevel="0" collapsed="false">
      <c r="A27" s="10" t="s">
        <v>680</v>
      </c>
      <c r="B27" s="11" t="s">
        <v>681</v>
      </c>
      <c r="C27" s="10" t="s">
        <v>682</v>
      </c>
      <c r="D27" s="10" t="s">
        <v>12</v>
      </c>
      <c r="E27" s="10" t="s">
        <v>618</v>
      </c>
      <c r="F27" s="10" t="s">
        <v>52</v>
      </c>
      <c r="G27" s="10"/>
      <c r="H27" s="10" t="s">
        <v>598</v>
      </c>
      <c r="I27" s="10"/>
      <c r="J27" s="10"/>
      <c r="K27" s="10" t="s">
        <v>391</v>
      </c>
      <c r="L27" s="10" t="s">
        <v>344</v>
      </c>
      <c r="M27" s="10" t="s">
        <v>222</v>
      </c>
      <c r="N27" s="14" t="n">
        <f aca="false">INDEX(Settings!$B$4:$B$10,MATCH(M27,Settings!$A$4:$A$10,0))</f>
        <v>1800</v>
      </c>
      <c r="O27" s="15" t="n">
        <f aca="false">IF(E27="A",IF(I27&gt;=2022,Settings!$B$13,Settings!$B$14),IF(E27="B",Settings!$B$15,Settings!$B$16))+IF(F27="S",Settings!$B$17,0)</f>
        <v>0.04</v>
      </c>
      <c r="P27" s="14" t="n">
        <f aca="false">N27*O27</f>
        <v>72</v>
      </c>
      <c r="Q27" s="16" t="n">
        <f aca="false">P27*INDEX(Settings!$B$20:$B$22,MATCH(F27,Settings!$A$20:$A$22,0))</f>
        <v>43.2</v>
      </c>
      <c r="R27" s="10" t="s">
        <v>600</v>
      </c>
      <c r="S27" s="10" t="s">
        <v>619</v>
      </c>
      <c r="T27" s="10" t="s">
        <v>601</v>
      </c>
      <c r="U27" s="10" t="s">
        <v>602</v>
      </c>
      <c r="V27" s="10" t="s">
        <v>62</v>
      </c>
    </row>
    <row r="28" customFormat="false" ht="23.85" hidden="false" customHeight="false" outlineLevel="0" collapsed="false">
      <c r="A28" s="10" t="s">
        <v>683</v>
      </c>
      <c r="B28" s="11" t="s">
        <v>684</v>
      </c>
      <c r="C28" s="10" t="s">
        <v>685</v>
      </c>
      <c r="D28" s="10" t="s">
        <v>283</v>
      </c>
      <c r="E28" s="10" t="s">
        <v>618</v>
      </c>
      <c r="F28" s="10" t="s">
        <v>52</v>
      </c>
      <c r="G28" s="10"/>
      <c r="H28" s="10" t="s">
        <v>598</v>
      </c>
      <c r="I28" s="10"/>
      <c r="J28" s="10"/>
      <c r="K28" s="10" t="s">
        <v>220</v>
      </c>
      <c r="L28" s="10" t="s">
        <v>344</v>
      </c>
      <c r="M28" s="10" t="s">
        <v>222</v>
      </c>
      <c r="N28" s="14" t="n">
        <f aca="false">INDEX(Settings!$B$4:$B$10,MATCH(M28,Settings!$A$4:$A$10,0))</f>
        <v>1800</v>
      </c>
      <c r="O28" s="15" t="n">
        <f aca="false">IF(E28="A",IF(I28&gt;=2022,Settings!$B$13,Settings!$B$14),IF(E28="B",Settings!$B$15,Settings!$B$16))+IF(F28="S",Settings!$B$17,0)</f>
        <v>0.04</v>
      </c>
      <c r="P28" s="14" t="n">
        <f aca="false">N28*O28</f>
        <v>72</v>
      </c>
      <c r="Q28" s="16" t="n">
        <f aca="false">P28*INDEX(Settings!$B$20:$B$22,MATCH(F28,Settings!$A$20:$A$22,0))</f>
        <v>43.2</v>
      </c>
      <c r="R28" s="10" t="s">
        <v>600</v>
      </c>
      <c r="S28" s="10" t="s">
        <v>619</v>
      </c>
      <c r="T28" s="10" t="s">
        <v>601</v>
      </c>
      <c r="U28" s="10" t="s">
        <v>602</v>
      </c>
      <c r="V28" s="10" t="s">
        <v>62</v>
      </c>
    </row>
    <row r="29" customFormat="false" ht="23.85" hidden="false" customHeight="false" outlineLevel="0" collapsed="false">
      <c r="A29" s="10" t="s">
        <v>686</v>
      </c>
      <c r="B29" s="11" t="s">
        <v>687</v>
      </c>
      <c r="C29" s="10" t="s">
        <v>389</v>
      </c>
      <c r="D29" s="10" t="s">
        <v>283</v>
      </c>
      <c r="E29" s="10" t="s">
        <v>618</v>
      </c>
      <c r="F29" s="10" t="s">
        <v>52</v>
      </c>
      <c r="G29" s="10"/>
      <c r="H29" s="10" t="s">
        <v>598</v>
      </c>
      <c r="I29" s="10"/>
      <c r="J29" s="10"/>
      <c r="K29" s="10" t="s">
        <v>391</v>
      </c>
      <c r="L29" s="10" t="s">
        <v>344</v>
      </c>
      <c r="M29" s="10" t="s">
        <v>222</v>
      </c>
      <c r="N29" s="14" t="n">
        <f aca="false">INDEX(Settings!$B$4:$B$10,MATCH(M29,Settings!$A$4:$A$10,0))</f>
        <v>1800</v>
      </c>
      <c r="O29" s="15" t="n">
        <f aca="false">IF(E29="A",IF(I29&gt;=2022,Settings!$B$13,Settings!$B$14),IF(E29="B",Settings!$B$15,Settings!$B$16))+IF(F29="S",Settings!$B$17,0)</f>
        <v>0.04</v>
      </c>
      <c r="P29" s="14" t="n">
        <f aca="false">N29*O29</f>
        <v>72</v>
      </c>
      <c r="Q29" s="16" t="n">
        <f aca="false">P29*INDEX(Settings!$B$20:$B$22,MATCH(F29,Settings!$A$20:$A$22,0))</f>
        <v>43.2</v>
      </c>
      <c r="R29" s="10" t="s">
        <v>600</v>
      </c>
      <c r="S29" s="10" t="s">
        <v>619</v>
      </c>
      <c r="T29" s="10" t="s">
        <v>601</v>
      </c>
      <c r="U29" s="10" t="s">
        <v>602</v>
      </c>
      <c r="V29" s="10" t="s">
        <v>62</v>
      </c>
    </row>
    <row r="30" customFormat="false" ht="23.85" hidden="false" customHeight="false" outlineLevel="0" collapsed="false">
      <c r="A30" s="10" t="s">
        <v>688</v>
      </c>
      <c r="B30" s="11" t="s">
        <v>689</v>
      </c>
      <c r="C30" s="10" t="s">
        <v>690</v>
      </c>
      <c r="D30" s="10" t="s">
        <v>283</v>
      </c>
      <c r="E30" s="10" t="s">
        <v>618</v>
      </c>
      <c r="F30" s="10" t="s">
        <v>52</v>
      </c>
      <c r="G30" s="10"/>
      <c r="H30" s="10" t="s">
        <v>598</v>
      </c>
      <c r="I30" s="10"/>
      <c r="J30" s="10"/>
      <c r="K30" s="10" t="s">
        <v>228</v>
      </c>
      <c r="L30" s="10" t="s">
        <v>344</v>
      </c>
      <c r="M30" s="10" t="s">
        <v>222</v>
      </c>
      <c r="N30" s="14" t="n">
        <f aca="false">INDEX(Settings!$B$4:$B$10,MATCH(M30,Settings!$A$4:$A$10,0))</f>
        <v>1800</v>
      </c>
      <c r="O30" s="15" t="n">
        <f aca="false">IF(E30="A",IF(I30&gt;=2022,Settings!$B$13,Settings!$B$14),IF(E30="B",Settings!$B$15,Settings!$B$16))+IF(F30="S",Settings!$B$17,0)</f>
        <v>0.04</v>
      </c>
      <c r="P30" s="14" t="n">
        <f aca="false">N30*O30</f>
        <v>72</v>
      </c>
      <c r="Q30" s="16" t="n">
        <f aca="false">P30*INDEX(Settings!$B$20:$B$22,MATCH(F30,Settings!$A$20:$A$22,0))</f>
        <v>43.2</v>
      </c>
      <c r="R30" s="10" t="s">
        <v>600</v>
      </c>
      <c r="S30" s="10" t="s">
        <v>619</v>
      </c>
      <c r="T30" s="10" t="s">
        <v>601</v>
      </c>
      <c r="U30" s="10" t="s">
        <v>602</v>
      </c>
      <c r="V30" s="10" t="s">
        <v>62</v>
      </c>
    </row>
    <row r="31" customFormat="false" ht="35.05" hidden="false" customHeight="false" outlineLevel="0" collapsed="false">
      <c r="A31" s="10" t="s">
        <v>691</v>
      </c>
      <c r="B31" s="11" t="s">
        <v>692</v>
      </c>
      <c r="C31" s="10" t="s">
        <v>389</v>
      </c>
      <c r="D31" s="10" t="s">
        <v>50</v>
      </c>
      <c r="E31" s="10" t="s">
        <v>618</v>
      </c>
      <c r="F31" s="10" t="s">
        <v>52</v>
      </c>
      <c r="G31" s="13" t="s">
        <v>622</v>
      </c>
      <c r="H31" s="10" t="s">
        <v>623</v>
      </c>
      <c r="I31" s="10" t="n">
        <v>2026</v>
      </c>
      <c r="J31" s="10" t="s">
        <v>203</v>
      </c>
      <c r="K31" s="10" t="s">
        <v>624</v>
      </c>
      <c r="L31" s="10" t="s">
        <v>344</v>
      </c>
      <c r="M31" s="10" t="s">
        <v>222</v>
      </c>
      <c r="N31" s="14" t="n">
        <f aca="false">INDEX(Settings!$B$4:$B$10,MATCH(M31,Settings!$A$4:$A$10,0))</f>
        <v>1800</v>
      </c>
      <c r="O31" s="15" t="n">
        <f aca="false">IF(E31="A",IF(I31&gt;=2022,Settings!$B$13,Settings!$B$14),IF(E31="B",Settings!$B$15,Settings!$B$16))+IF(F31="S",Settings!$B$17,0)</f>
        <v>0.04</v>
      </c>
      <c r="P31" s="14" t="n">
        <f aca="false">N31*O31</f>
        <v>72</v>
      </c>
      <c r="Q31" s="16" t="n">
        <f aca="false">P31*INDEX(Settings!$B$20:$B$22,MATCH(F31,Settings!$A$20:$A$22,0))</f>
        <v>43.2</v>
      </c>
      <c r="R31" s="10" t="s">
        <v>600</v>
      </c>
      <c r="S31" s="10" t="s">
        <v>619</v>
      </c>
      <c r="T31" s="10" t="s">
        <v>601</v>
      </c>
      <c r="U31" s="10" t="s">
        <v>602</v>
      </c>
      <c r="V31" s="10" t="s">
        <v>62</v>
      </c>
    </row>
    <row r="32" customFormat="false" ht="23.85" hidden="false" customHeight="false" outlineLevel="0" collapsed="false">
      <c r="A32" s="10" t="s">
        <v>693</v>
      </c>
      <c r="B32" s="11" t="s">
        <v>694</v>
      </c>
      <c r="C32" s="10" t="s">
        <v>695</v>
      </c>
      <c r="D32" s="10" t="s">
        <v>283</v>
      </c>
      <c r="E32" s="10" t="s">
        <v>618</v>
      </c>
      <c r="F32" s="10" t="s">
        <v>52</v>
      </c>
      <c r="G32" s="10"/>
      <c r="H32" s="10" t="s">
        <v>598</v>
      </c>
      <c r="I32" s="10"/>
      <c r="J32" s="10"/>
      <c r="K32" s="10" t="s">
        <v>220</v>
      </c>
      <c r="L32" s="10" t="s">
        <v>344</v>
      </c>
      <c r="M32" s="10" t="s">
        <v>222</v>
      </c>
      <c r="N32" s="14" t="n">
        <f aca="false">INDEX(Settings!$B$4:$B$10,MATCH(M32,Settings!$A$4:$A$10,0))</f>
        <v>1800</v>
      </c>
      <c r="O32" s="15" t="n">
        <f aca="false">IF(E32="A",IF(I32&gt;=2022,Settings!$B$13,Settings!$B$14),IF(E32="B",Settings!$B$15,Settings!$B$16))+IF(F32="S",Settings!$B$17,0)</f>
        <v>0.04</v>
      </c>
      <c r="P32" s="14" t="n">
        <f aca="false">N32*O32</f>
        <v>72</v>
      </c>
      <c r="Q32" s="16" t="n">
        <f aca="false">P32*INDEX(Settings!$B$20:$B$22,MATCH(F32,Settings!$A$20:$A$22,0))</f>
        <v>43.2</v>
      </c>
      <c r="R32" s="10" t="s">
        <v>600</v>
      </c>
      <c r="S32" s="10" t="s">
        <v>619</v>
      </c>
      <c r="T32" s="10" t="s">
        <v>601</v>
      </c>
      <c r="U32" s="10" t="s">
        <v>602</v>
      </c>
      <c r="V32" s="10" t="s">
        <v>62</v>
      </c>
    </row>
    <row r="33" customFormat="false" ht="23.85" hidden="false" customHeight="false" outlineLevel="0" collapsed="false">
      <c r="A33" s="10" t="s">
        <v>696</v>
      </c>
      <c r="B33" s="11" t="s">
        <v>697</v>
      </c>
      <c r="C33" s="10" t="s">
        <v>640</v>
      </c>
      <c r="D33" s="10" t="s">
        <v>12</v>
      </c>
      <c r="E33" s="10" t="s">
        <v>618</v>
      </c>
      <c r="F33" s="10" t="s">
        <v>52</v>
      </c>
      <c r="G33" s="10"/>
      <c r="H33" s="10" t="s">
        <v>598</v>
      </c>
      <c r="I33" s="10"/>
      <c r="J33" s="10"/>
      <c r="K33" s="10" t="s">
        <v>204</v>
      </c>
      <c r="L33" s="10" t="s">
        <v>344</v>
      </c>
      <c r="M33" s="10" t="s">
        <v>206</v>
      </c>
      <c r="N33" s="14" t="n">
        <f aca="false">INDEX(Settings!$B$4:$B$10,MATCH(M33,Settings!$A$4:$A$10,0))</f>
        <v>4800</v>
      </c>
      <c r="O33" s="15" t="n">
        <f aca="false">IF(E33="A",IF(I33&gt;=2022,Settings!$B$13,Settings!$B$14),IF(E33="B",Settings!$B$15,Settings!$B$16))+IF(F33="S",Settings!$B$17,0)</f>
        <v>0.04</v>
      </c>
      <c r="P33" s="14" t="n">
        <f aca="false">N33*O33</f>
        <v>192</v>
      </c>
      <c r="Q33" s="16" t="n">
        <f aca="false">P33*INDEX(Settings!$B$20:$B$22,MATCH(F33,Settings!$A$20:$A$22,0))</f>
        <v>115.2</v>
      </c>
      <c r="R33" s="10" t="s">
        <v>600</v>
      </c>
      <c r="S33" s="10" t="s">
        <v>619</v>
      </c>
      <c r="T33" s="10" t="s">
        <v>601</v>
      </c>
      <c r="U33" s="10" t="s">
        <v>602</v>
      </c>
      <c r="V33" s="10" t="s">
        <v>62</v>
      </c>
    </row>
    <row r="34" customFormat="false" ht="35.05" hidden="false" customHeight="false" outlineLevel="0" collapsed="false">
      <c r="A34" s="10" t="s">
        <v>698</v>
      </c>
      <c r="B34" s="11" t="s">
        <v>699</v>
      </c>
      <c r="C34" s="10" t="s">
        <v>389</v>
      </c>
      <c r="D34" s="10" t="s">
        <v>50</v>
      </c>
      <c r="E34" s="10" t="s">
        <v>618</v>
      </c>
      <c r="F34" s="10" t="s">
        <v>52</v>
      </c>
      <c r="G34" s="13" t="s">
        <v>622</v>
      </c>
      <c r="H34" s="10" t="s">
        <v>623</v>
      </c>
      <c r="I34" s="10" t="n">
        <v>2026</v>
      </c>
      <c r="J34" s="10" t="s">
        <v>203</v>
      </c>
      <c r="K34" s="10" t="s">
        <v>624</v>
      </c>
      <c r="L34" s="10" t="s">
        <v>344</v>
      </c>
      <c r="M34" s="10" t="s">
        <v>222</v>
      </c>
      <c r="N34" s="14" t="n">
        <f aca="false">INDEX(Settings!$B$4:$B$10,MATCH(M34,Settings!$A$4:$A$10,0))</f>
        <v>1800</v>
      </c>
      <c r="O34" s="15" t="n">
        <f aca="false">IF(E34="A",IF(I34&gt;=2022,Settings!$B$13,Settings!$B$14),IF(E34="B",Settings!$B$15,Settings!$B$16))+IF(F34="S",Settings!$B$17,0)</f>
        <v>0.04</v>
      </c>
      <c r="P34" s="14" t="n">
        <f aca="false">N34*O34</f>
        <v>72</v>
      </c>
      <c r="Q34" s="16" t="n">
        <f aca="false">P34*INDEX(Settings!$B$20:$B$22,MATCH(F34,Settings!$A$20:$A$22,0))</f>
        <v>43.2</v>
      </c>
      <c r="R34" s="10" t="s">
        <v>600</v>
      </c>
      <c r="S34" s="10" t="s">
        <v>619</v>
      </c>
      <c r="T34" s="10" t="s">
        <v>601</v>
      </c>
      <c r="U34" s="10" t="s">
        <v>602</v>
      </c>
      <c r="V34" s="10" t="s">
        <v>62</v>
      </c>
    </row>
    <row r="35" customFormat="false" ht="23.85" hidden="false" customHeight="false" outlineLevel="0" collapsed="false">
      <c r="A35" s="10" t="s">
        <v>700</v>
      </c>
      <c r="B35" s="11" t="s">
        <v>701</v>
      </c>
      <c r="C35" s="10" t="s">
        <v>702</v>
      </c>
      <c r="D35" s="10" t="s">
        <v>283</v>
      </c>
      <c r="E35" s="10" t="s">
        <v>618</v>
      </c>
      <c r="F35" s="10" t="s">
        <v>52</v>
      </c>
      <c r="G35" s="10"/>
      <c r="H35" s="10" t="s">
        <v>598</v>
      </c>
      <c r="I35" s="10"/>
      <c r="J35" s="10"/>
      <c r="K35" s="10" t="s">
        <v>220</v>
      </c>
      <c r="L35" s="10" t="s">
        <v>344</v>
      </c>
      <c r="M35" s="10" t="s">
        <v>222</v>
      </c>
      <c r="N35" s="14" t="n">
        <f aca="false">INDEX(Settings!$B$4:$B$10,MATCH(M35,Settings!$A$4:$A$10,0))</f>
        <v>1800</v>
      </c>
      <c r="O35" s="15" t="n">
        <f aca="false">IF(E35="A",IF(I35&gt;=2022,Settings!$B$13,Settings!$B$14),IF(E35="B",Settings!$B$15,Settings!$B$16))+IF(F35="S",Settings!$B$17,0)</f>
        <v>0.04</v>
      </c>
      <c r="P35" s="14" t="n">
        <f aca="false">N35*O35</f>
        <v>72</v>
      </c>
      <c r="Q35" s="16" t="n">
        <f aca="false">P35*INDEX(Settings!$B$20:$B$22,MATCH(F35,Settings!$A$20:$A$22,0))</f>
        <v>43.2</v>
      </c>
      <c r="R35" s="10" t="s">
        <v>600</v>
      </c>
      <c r="S35" s="10" t="s">
        <v>619</v>
      </c>
      <c r="T35" s="10" t="s">
        <v>601</v>
      </c>
      <c r="U35" s="10" t="s">
        <v>602</v>
      </c>
      <c r="V35" s="10" t="s">
        <v>62</v>
      </c>
    </row>
    <row r="36" customFormat="false" ht="23.85" hidden="false" customHeight="false" outlineLevel="0" collapsed="false">
      <c r="A36" s="10" t="s">
        <v>703</v>
      </c>
      <c r="B36" s="11" t="s">
        <v>704</v>
      </c>
      <c r="C36" s="10" t="s">
        <v>705</v>
      </c>
      <c r="D36" s="10" t="s">
        <v>283</v>
      </c>
      <c r="E36" s="10" t="s">
        <v>618</v>
      </c>
      <c r="F36" s="10" t="s">
        <v>52</v>
      </c>
      <c r="G36" s="10"/>
      <c r="H36" s="10" t="s">
        <v>598</v>
      </c>
      <c r="I36" s="10"/>
      <c r="J36" s="10"/>
      <c r="K36" s="10" t="s">
        <v>220</v>
      </c>
      <c r="L36" s="10" t="s">
        <v>344</v>
      </c>
      <c r="M36" s="10" t="s">
        <v>222</v>
      </c>
      <c r="N36" s="14" t="n">
        <f aca="false">INDEX(Settings!$B$4:$B$10,MATCH(M36,Settings!$A$4:$A$10,0))</f>
        <v>1800</v>
      </c>
      <c r="O36" s="15" t="n">
        <f aca="false">IF(E36="A",IF(I36&gt;=2022,Settings!$B$13,Settings!$B$14),IF(E36="B",Settings!$B$15,Settings!$B$16))+IF(F36="S",Settings!$B$17,0)</f>
        <v>0.04</v>
      </c>
      <c r="P36" s="14" t="n">
        <f aca="false">N36*O36</f>
        <v>72</v>
      </c>
      <c r="Q36" s="16" t="n">
        <f aca="false">P36*INDEX(Settings!$B$20:$B$22,MATCH(F36,Settings!$A$20:$A$22,0))</f>
        <v>43.2</v>
      </c>
      <c r="R36" s="10" t="s">
        <v>600</v>
      </c>
      <c r="S36" s="10" t="s">
        <v>619</v>
      </c>
      <c r="T36" s="10" t="s">
        <v>601</v>
      </c>
      <c r="U36" s="10" t="s">
        <v>602</v>
      </c>
      <c r="V36" s="10" t="s">
        <v>62</v>
      </c>
    </row>
    <row r="37" customFormat="false" ht="23.85" hidden="false" customHeight="false" outlineLevel="0" collapsed="false">
      <c r="A37" s="10" t="s">
        <v>706</v>
      </c>
      <c r="B37" s="11" t="s">
        <v>707</v>
      </c>
      <c r="C37" s="10" t="s">
        <v>348</v>
      </c>
      <c r="D37" s="10" t="s">
        <v>283</v>
      </c>
      <c r="E37" s="10" t="s">
        <v>618</v>
      </c>
      <c r="F37" s="10" t="s">
        <v>52</v>
      </c>
      <c r="G37" s="10"/>
      <c r="H37" s="10" t="s">
        <v>598</v>
      </c>
      <c r="I37" s="10"/>
      <c r="J37" s="10"/>
      <c r="K37" s="10" t="s">
        <v>350</v>
      </c>
      <c r="L37" s="10" t="s">
        <v>344</v>
      </c>
      <c r="M37" s="10" t="s">
        <v>222</v>
      </c>
      <c r="N37" s="14" t="n">
        <f aca="false">INDEX(Settings!$B$4:$B$10,MATCH(M37,Settings!$A$4:$A$10,0))</f>
        <v>1800</v>
      </c>
      <c r="O37" s="15" t="n">
        <f aca="false">IF(E37="A",IF(I37&gt;=2022,Settings!$B$13,Settings!$B$14),IF(E37="B",Settings!$B$15,Settings!$B$16))+IF(F37="S",Settings!$B$17,0)</f>
        <v>0.04</v>
      </c>
      <c r="P37" s="14" t="n">
        <f aca="false">N37*O37</f>
        <v>72</v>
      </c>
      <c r="Q37" s="16" t="n">
        <f aca="false">P37*INDEX(Settings!$B$20:$B$22,MATCH(F37,Settings!$A$20:$A$22,0))</f>
        <v>43.2</v>
      </c>
      <c r="R37" s="10" t="s">
        <v>600</v>
      </c>
      <c r="S37" s="10" t="s">
        <v>619</v>
      </c>
      <c r="T37" s="10" t="s">
        <v>601</v>
      </c>
      <c r="U37" s="10" t="s">
        <v>602</v>
      </c>
      <c r="V37" s="10" t="s">
        <v>62</v>
      </c>
    </row>
    <row r="38" customFormat="false" ht="23.85" hidden="false" customHeight="false" outlineLevel="0" collapsed="false">
      <c r="A38" s="10" t="s">
        <v>708</v>
      </c>
      <c r="B38" s="11" t="s">
        <v>709</v>
      </c>
      <c r="C38" s="10" t="s">
        <v>348</v>
      </c>
      <c r="D38" s="10" t="s">
        <v>283</v>
      </c>
      <c r="E38" s="10" t="s">
        <v>618</v>
      </c>
      <c r="F38" s="10" t="s">
        <v>52</v>
      </c>
      <c r="G38" s="10"/>
      <c r="H38" s="10" t="s">
        <v>598</v>
      </c>
      <c r="I38" s="10"/>
      <c r="J38" s="10"/>
      <c r="K38" s="10" t="s">
        <v>350</v>
      </c>
      <c r="L38" s="10" t="s">
        <v>344</v>
      </c>
      <c r="M38" s="10" t="s">
        <v>222</v>
      </c>
      <c r="N38" s="14" t="n">
        <f aca="false">INDEX(Settings!$B$4:$B$10,MATCH(M38,Settings!$A$4:$A$10,0))</f>
        <v>1800</v>
      </c>
      <c r="O38" s="15" t="n">
        <f aca="false">IF(E38="A",IF(I38&gt;=2022,Settings!$B$13,Settings!$B$14),IF(E38="B",Settings!$B$15,Settings!$B$16))+IF(F38="S",Settings!$B$17,0)</f>
        <v>0.04</v>
      </c>
      <c r="P38" s="14" t="n">
        <f aca="false">N38*O38</f>
        <v>72</v>
      </c>
      <c r="Q38" s="16" t="n">
        <f aca="false">P38*INDEX(Settings!$B$20:$B$22,MATCH(F38,Settings!$A$20:$A$22,0))</f>
        <v>43.2</v>
      </c>
      <c r="R38" s="10" t="s">
        <v>600</v>
      </c>
      <c r="S38" s="10" t="s">
        <v>619</v>
      </c>
      <c r="T38" s="10" t="s">
        <v>601</v>
      </c>
      <c r="U38" s="10" t="s">
        <v>602</v>
      </c>
      <c r="V38" s="10" t="s">
        <v>62</v>
      </c>
    </row>
    <row r="39" customFormat="false" ht="23.85" hidden="false" customHeight="false" outlineLevel="0" collapsed="false">
      <c r="A39" s="10" t="s">
        <v>710</v>
      </c>
      <c r="B39" s="11" t="s">
        <v>711</v>
      </c>
      <c r="C39" s="10" t="s">
        <v>682</v>
      </c>
      <c r="D39" s="10" t="s">
        <v>12</v>
      </c>
      <c r="E39" s="10" t="s">
        <v>618</v>
      </c>
      <c r="F39" s="10" t="s">
        <v>52</v>
      </c>
      <c r="G39" s="10"/>
      <c r="H39" s="10" t="s">
        <v>598</v>
      </c>
      <c r="I39" s="10"/>
      <c r="J39" s="10"/>
      <c r="K39" s="10" t="s">
        <v>391</v>
      </c>
      <c r="L39" s="10" t="s">
        <v>344</v>
      </c>
      <c r="M39" s="10" t="s">
        <v>222</v>
      </c>
      <c r="N39" s="14" t="n">
        <f aca="false">INDEX(Settings!$B$4:$B$10,MATCH(M39,Settings!$A$4:$A$10,0))</f>
        <v>1800</v>
      </c>
      <c r="O39" s="15" t="n">
        <f aca="false">IF(E39="A",IF(I39&gt;=2022,Settings!$B$13,Settings!$B$14),IF(E39="B",Settings!$B$15,Settings!$B$16))+IF(F39="S",Settings!$B$17,0)</f>
        <v>0.04</v>
      </c>
      <c r="P39" s="14" t="n">
        <f aca="false">N39*O39</f>
        <v>72</v>
      </c>
      <c r="Q39" s="16" t="n">
        <f aca="false">P39*INDEX(Settings!$B$20:$B$22,MATCH(F39,Settings!$A$20:$A$22,0))</f>
        <v>43.2</v>
      </c>
      <c r="R39" s="10" t="s">
        <v>600</v>
      </c>
      <c r="S39" s="10" t="s">
        <v>619</v>
      </c>
      <c r="T39" s="10" t="s">
        <v>601</v>
      </c>
      <c r="U39" s="10" t="s">
        <v>602</v>
      </c>
      <c r="V39" s="10" t="s">
        <v>62</v>
      </c>
    </row>
    <row r="40" customFormat="false" ht="23.85" hidden="false" customHeight="false" outlineLevel="0" collapsed="false">
      <c r="A40" s="10" t="s">
        <v>712</v>
      </c>
      <c r="B40" s="11" t="s">
        <v>713</v>
      </c>
      <c r="C40" s="10" t="s">
        <v>714</v>
      </c>
      <c r="D40" s="10" t="s">
        <v>283</v>
      </c>
      <c r="E40" s="10" t="s">
        <v>618</v>
      </c>
      <c r="F40" s="10" t="s">
        <v>52</v>
      </c>
      <c r="G40" s="10"/>
      <c r="H40" s="10" t="s">
        <v>598</v>
      </c>
      <c r="I40" s="10"/>
      <c r="J40" s="10"/>
      <c r="K40" s="10" t="s">
        <v>220</v>
      </c>
      <c r="L40" s="10" t="s">
        <v>344</v>
      </c>
      <c r="M40" s="10" t="s">
        <v>222</v>
      </c>
      <c r="N40" s="14" t="n">
        <f aca="false">INDEX(Settings!$B$4:$B$10,MATCH(M40,Settings!$A$4:$A$10,0))</f>
        <v>1800</v>
      </c>
      <c r="O40" s="15" t="n">
        <f aca="false">IF(E40="A",IF(I40&gt;=2022,Settings!$B$13,Settings!$B$14),IF(E40="B",Settings!$B$15,Settings!$B$16))+IF(F40="S",Settings!$B$17,0)</f>
        <v>0.04</v>
      </c>
      <c r="P40" s="14" t="n">
        <f aca="false">N40*O40</f>
        <v>72</v>
      </c>
      <c r="Q40" s="16" t="n">
        <f aca="false">P40*INDEX(Settings!$B$20:$B$22,MATCH(F40,Settings!$A$20:$A$22,0))</f>
        <v>43.2</v>
      </c>
      <c r="R40" s="10" t="s">
        <v>600</v>
      </c>
      <c r="S40" s="10" t="s">
        <v>619</v>
      </c>
      <c r="T40" s="10" t="s">
        <v>601</v>
      </c>
      <c r="U40" s="10" t="s">
        <v>602</v>
      </c>
      <c r="V40" s="10" t="s">
        <v>62</v>
      </c>
    </row>
    <row r="41" customFormat="false" ht="23.85" hidden="false" customHeight="false" outlineLevel="0" collapsed="false">
      <c r="A41" s="10" t="s">
        <v>715</v>
      </c>
      <c r="B41" s="11" t="s">
        <v>716</v>
      </c>
      <c r="C41" s="10" t="s">
        <v>241</v>
      </c>
      <c r="D41" s="10" t="s">
        <v>283</v>
      </c>
      <c r="E41" s="10" t="s">
        <v>618</v>
      </c>
      <c r="F41" s="10" t="s">
        <v>52</v>
      </c>
      <c r="G41" s="10"/>
      <c r="H41" s="10" t="s">
        <v>598</v>
      </c>
      <c r="I41" s="10"/>
      <c r="J41" s="10"/>
      <c r="K41" s="10" t="s">
        <v>228</v>
      </c>
      <c r="L41" s="10" t="s">
        <v>344</v>
      </c>
      <c r="M41" s="10" t="s">
        <v>222</v>
      </c>
      <c r="N41" s="14" t="n">
        <f aca="false">INDEX(Settings!$B$4:$B$10,MATCH(M41,Settings!$A$4:$A$10,0))</f>
        <v>1800</v>
      </c>
      <c r="O41" s="15" t="n">
        <f aca="false">IF(E41="A",IF(I41&gt;=2022,Settings!$B$13,Settings!$B$14),IF(E41="B",Settings!$B$15,Settings!$B$16))+IF(F41="S",Settings!$B$17,0)</f>
        <v>0.04</v>
      </c>
      <c r="P41" s="14" t="n">
        <f aca="false">N41*O41</f>
        <v>72</v>
      </c>
      <c r="Q41" s="16" t="n">
        <f aca="false">P41*INDEX(Settings!$B$20:$B$22,MATCH(F41,Settings!$A$20:$A$22,0))</f>
        <v>43.2</v>
      </c>
      <c r="R41" s="10" t="s">
        <v>600</v>
      </c>
      <c r="S41" s="10" t="s">
        <v>619</v>
      </c>
      <c r="T41" s="10" t="s">
        <v>601</v>
      </c>
      <c r="U41" s="10" t="s">
        <v>602</v>
      </c>
      <c r="V41" s="10" t="s">
        <v>62</v>
      </c>
    </row>
    <row r="42" customFormat="false" ht="23.85" hidden="false" customHeight="false" outlineLevel="0" collapsed="false">
      <c r="A42" s="10" t="s">
        <v>717</v>
      </c>
      <c r="B42" s="11" t="s">
        <v>718</v>
      </c>
      <c r="C42" s="10" t="s">
        <v>719</v>
      </c>
      <c r="D42" s="10" t="s">
        <v>283</v>
      </c>
      <c r="E42" s="10" t="s">
        <v>618</v>
      </c>
      <c r="F42" s="10" t="s">
        <v>52</v>
      </c>
      <c r="G42" s="10"/>
      <c r="H42" s="10" t="s">
        <v>598</v>
      </c>
      <c r="I42" s="10"/>
      <c r="J42" s="10"/>
      <c r="K42" s="10" t="s">
        <v>220</v>
      </c>
      <c r="L42" s="10" t="s">
        <v>344</v>
      </c>
      <c r="M42" s="10" t="s">
        <v>222</v>
      </c>
      <c r="N42" s="14" t="n">
        <f aca="false">INDEX(Settings!$B$4:$B$10,MATCH(M42,Settings!$A$4:$A$10,0))</f>
        <v>1800</v>
      </c>
      <c r="O42" s="15" t="n">
        <f aca="false">IF(E42="A",IF(I42&gt;=2022,Settings!$B$13,Settings!$B$14),IF(E42="B",Settings!$B$15,Settings!$B$16))+IF(F42="S",Settings!$B$17,0)</f>
        <v>0.04</v>
      </c>
      <c r="P42" s="14" t="n">
        <f aca="false">N42*O42</f>
        <v>72</v>
      </c>
      <c r="Q42" s="16" t="n">
        <f aca="false">P42*INDEX(Settings!$B$20:$B$22,MATCH(F42,Settings!$A$20:$A$22,0))</f>
        <v>43.2</v>
      </c>
      <c r="R42" s="10" t="s">
        <v>600</v>
      </c>
      <c r="S42" s="10" t="s">
        <v>619</v>
      </c>
      <c r="T42" s="10" t="s">
        <v>601</v>
      </c>
      <c r="U42" s="10" t="s">
        <v>602</v>
      </c>
      <c r="V42" s="10" t="s">
        <v>62</v>
      </c>
    </row>
    <row r="43" customFormat="false" ht="35.05" hidden="false" customHeight="false" outlineLevel="0" collapsed="false">
      <c r="A43" s="10" t="s">
        <v>720</v>
      </c>
      <c r="B43" s="11" t="s">
        <v>721</v>
      </c>
      <c r="C43" s="10" t="s">
        <v>389</v>
      </c>
      <c r="D43" s="10" t="s">
        <v>50</v>
      </c>
      <c r="E43" s="10" t="s">
        <v>618</v>
      </c>
      <c r="F43" s="10" t="s">
        <v>52</v>
      </c>
      <c r="G43" s="13" t="s">
        <v>622</v>
      </c>
      <c r="H43" s="10" t="s">
        <v>623</v>
      </c>
      <c r="I43" s="10" t="n">
        <v>2026</v>
      </c>
      <c r="J43" s="10" t="s">
        <v>203</v>
      </c>
      <c r="K43" s="10" t="s">
        <v>624</v>
      </c>
      <c r="L43" s="10" t="s">
        <v>344</v>
      </c>
      <c r="M43" s="10" t="s">
        <v>222</v>
      </c>
      <c r="N43" s="14" t="n">
        <f aca="false">INDEX(Settings!$B$4:$B$10,MATCH(M43,Settings!$A$4:$A$10,0))</f>
        <v>1800</v>
      </c>
      <c r="O43" s="15" t="n">
        <f aca="false">IF(E43="A",IF(I43&gt;=2022,Settings!$B$13,Settings!$B$14),IF(E43="B",Settings!$B$15,Settings!$B$16))+IF(F43="S",Settings!$B$17,0)</f>
        <v>0.04</v>
      </c>
      <c r="P43" s="14" t="n">
        <f aca="false">N43*O43</f>
        <v>72</v>
      </c>
      <c r="Q43" s="16" t="n">
        <f aca="false">P43*INDEX(Settings!$B$20:$B$22,MATCH(F43,Settings!$A$20:$A$22,0))</f>
        <v>43.2</v>
      </c>
      <c r="R43" s="10" t="s">
        <v>600</v>
      </c>
      <c r="S43" s="10" t="s">
        <v>619</v>
      </c>
      <c r="T43" s="10" t="s">
        <v>601</v>
      </c>
      <c r="U43" s="10" t="s">
        <v>602</v>
      </c>
      <c r="V43" s="10" t="s">
        <v>62</v>
      </c>
    </row>
    <row r="44" customFormat="false" ht="35.05" hidden="false" customHeight="false" outlineLevel="0" collapsed="false">
      <c r="A44" s="10" t="s">
        <v>722</v>
      </c>
      <c r="B44" s="11" t="s">
        <v>723</v>
      </c>
      <c r="C44" s="10" t="s">
        <v>389</v>
      </c>
      <c r="D44" s="10" t="s">
        <v>50</v>
      </c>
      <c r="E44" s="10" t="s">
        <v>618</v>
      </c>
      <c r="F44" s="10" t="s">
        <v>52</v>
      </c>
      <c r="G44" s="13" t="s">
        <v>622</v>
      </c>
      <c r="H44" s="10" t="s">
        <v>623</v>
      </c>
      <c r="I44" s="10" t="n">
        <v>2026</v>
      </c>
      <c r="J44" s="10" t="s">
        <v>203</v>
      </c>
      <c r="K44" s="10" t="s">
        <v>624</v>
      </c>
      <c r="L44" s="10" t="s">
        <v>344</v>
      </c>
      <c r="M44" s="10" t="s">
        <v>222</v>
      </c>
      <c r="N44" s="14" t="n">
        <f aca="false">INDEX(Settings!$B$4:$B$10,MATCH(M44,Settings!$A$4:$A$10,0))</f>
        <v>1800</v>
      </c>
      <c r="O44" s="15" t="n">
        <f aca="false">IF(E44="A",IF(I44&gt;=2022,Settings!$B$13,Settings!$B$14),IF(E44="B",Settings!$B$15,Settings!$B$16))+IF(F44="S",Settings!$B$17,0)</f>
        <v>0.04</v>
      </c>
      <c r="P44" s="14" t="n">
        <f aca="false">N44*O44</f>
        <v>72</v>
      </c>
      <c r="Q44" s="16" t="n">
        <f aca="false">P44*INDEX(Settings!$B$20:$B$22,MATCH(F44,Settings!$A$20:$A$22,0))</f>
        <v>43.2</v>
      </c>
      <c r="R44" s="10" t="s">
        <v>600</v>
      </c>
      <c r="S44" s="10" t="s">
        <v>619</v>
      </c>
      <c r="T44" s="10" t="s">
        <v>601</v>
      </c>
      <c r="U44" s="10" t="s">
        <v>602</v>
      </c>
      <c r="V44" s="10" t="s">
        <v>62</v>
      </c>
    </row>
    <row r="45" customFormat="false" ht="23.85" hidden="false" customHeight="false" outlineLevel="0" collapsed="false">
      <c r="A45" s="10" t="s">
        <v>724</v>
      </c>
      <c r="B45" s="11" t="s">
        <v>725</v>
      </c>
      <c r="C45" s="10" t="s">
        <v>241</v>
      </c>
      <c r="D45" s="10" t="s">
        <v>283</v>
      </c>
      <c r="E45" s="10" t="s">
        <v>618</v>
      </c>
      <c r="F45" s="10" t="s">
        <v>52</v>
      </c>
      <c r="G45" s="10"/>
      <c r="H45" s="10" t="s">
        <v>598</v>
      </c>
      <c r="I45" s="10"/>
      <c r="J45" s="10"/>
      <c r="K45" s="10" t="s">
        <v>228</v>
      </c>
      <c r="L45" s="10" t="s">
        <v>344</v>
      </c>
      <c r="M45" s="10" t="s">
        <v>222</v>
      </c>
      <c r="N45" s="14" t="n">
        <f aca="false">INDEX(Settings!$B$4:$B$10,MATCH(M45,Settings!$A$4:$A$10,0))</f>
        <v>1800</v>
      </c>
      <c r="O45" s="15" t="n">
        <f aca="false">IF(E45="A",IF(I45&gt;=2022,Settings!$B$13,Settings!$B$14),IF(E45="B",Settings!$B$15,Settings!$B$16))+IF(F45="S",Settings!$B$17,0)</f>
        <v>0.04</v>
      </c>
      <c r="P45" s="14" t="n">
        <f aca="false">N45*O45</f>
        <v>72</v>
      </c>
      <c r="Q45" s="16" t="n">
        <f aca="false">P45*INDEX(Settings!$B$20:$B$22,MATCH(F45,Settings!$A$20:$A$22,0))</f>
        <v>43.2</v>
      </c>
      <c r="R45" s="10" t="s">
        <v>600</v>
      </c>
      <c r="S45" s="10" t="s">
        <v>619</v>
      </c>
      <c r="T45" s="10" t="s">
        <v>601</v>
      </c>
      <c r="U45" s="10" t="s">
        <v>602</v>
      </c>
      <c r="V45" s="10" t="s">
        <v>62</v>
      </c>
    </row>
    <row r="46" customFormat="false" ht="35.05" hidden="false" customHeight="false" outlineLevel="0" collapsed="false">
      <c r="A46" s="10" t="s">
        <v>726</v>
      </c>
      <c r="B46" s="11" t="s">
        <v>727</v>
      </c>
      <c r="C46" s="10" t="s">
        <v>389</v>
      </c>
      <c r="D46" s="10" t="s">
        <v>50</v>
      </c>
      <c r="E46" s="10" t="s">
        <v>618</v>
      </c>
      <c r="F46" s="10" t="s">
        <v>52</v>
      </c>
      <c r="G46" s="13" t="s">
        <v>622</v>
      </c>
      <c r="H46" s="10" t="s">
        <v>623</v>
      </c>
      <c r="I46" s="10" t="n">
        <v>2026</v>
      </c>
      <c r="J46" s="10" t="s">
        <v>203</v>
      </c>
      <c r="K46" s="10" t="s">
        <v>624</v>
      </c>
      <c r="L46" s="10" t="s">
        <v>344</v>
      </c>
      <c r="M46" s="10" t="s">
        <v>222</v>
      </c>
      <c r="N46" s="14" t="n">
        <f aca="false">INDEX(Settings!$B$4:$B$10,MATCH(M46,Settings!$A$4:$A$10,0))</f>
        <v>1800</v>
      </c>
      <c r="O46" s="15" t="n">
        <f aca="false">IF(E46="A",IF(I46&gt;=2022,Settings!$B$13,Settings!$B$14),IF(E46="B",Settings!$B$15,Settings!$B$16))+IF(F46="S",Settings!$B$17,0)</f>
        <v>0.04</v>
      </c>
      <c r="P46" s="14" t="n">
        <f aca="false">N46*O46</f>
        <v>72</v>
      </c>
      <c r="Q46" s="16" t="n">
        <f aca="false">P46*INDEX(Settings!$B$20:$B$22,MATCH(F46,Settings!$A$20:$A$22,0))</f>
        <v>43.2</v>
      </c>
      <c r="R46" s="10" t="s">
        <v>600</v>
      </c>
      <c r="S46" s="10" t="s">
        <v>619</v>
      </c>
      <c r="T46" s="10" t="s">
        <v>601</v>
      </c>
      <c r="U46" s="10" t="s">
        <v>602</v>
      </c>
      <c r="V46" s="10" t="s">
        <v>62</v>
      </c>
    </row>
    <row r="47" customFormat="false" ht="35.05" hidden="false" customHeight="false" outlineLevel="0" collapsed="false">
      <c r="A47" s="10" t="s">
        <v>728</v>
      </c>
      <c r="B47" s="11" t="s">
        <v>729</v>
      </c>
      <c r="C47" s="10" t="s">
        <v>730</v>
      </c>
      <c r="D47" s="10" t="s">
        <v>496</v>
      </c>
      <c r="E47" s="10" t="s">
        <v>618</v>
      </c>
      <c r="F47" s="10" t="s">
        <v>217</v>
      </c>
      <c r="G47" s="13" t="s">
        <v>731</v>
      </c>
      <c r="H47" s="10" t="s">
        <v>732</v>
      </c>
      <c r="I47" s="10" t="n">
        <v>2021</v>
      </c>
      <c r="J47" s="10" t="s">
        <v>203</v>
      </c>
      <c r="K47" s="10" t="s">
        <v>350</v>
      </c>
      <c r="L47" s="10" t="s">
        <v>221</v>
      </c>
      <c r="M47" s="10" t="s">
        <v>352</v>
      </c>
      <c r="N47" s="14" t="n">
        <f aca="false">INDEX(Settings!$B$4:$B$10,MATCH(M47,Settings!$A$4:$A$10,0))</f>
        <v>1500</v>
      </c>
      <c r="O47" s="15" t="n">
        <f aca="false">IF(E47="A",IF(I47&gt;=2022,Settings!$B$13,Settings!$B$14),IF(E47="B",Settings!$B$15,Settings!$B$16))+IF(F47="S",Settings!$B$17,0)</f>
        <v>0.09</v>
      </c>
      <c r="P47" s="14" t="n">
        <f aca="false">N47*O47</f>
        <v>135</v>
      </c>
      <c r="Q47" s="16" t="n">
        <f aca="false">P47*INDEX(Settings!$B$20:$B$22,MATCH(F47,Settings!$A$20:$A$22,0))</f>
        <v>202.5</v>
      </c>
      <c r="R47" s="10" t="s">
        <v>600</v>
      </c>
      <c r="S47" s="10" t="s">
        <v>619</v>
      </c>
      <c r="T47" s="10" t="s">
        <v>601</v>
      </c>
      <c r="U47" s="10" t="s">
        <v>602</v>
      </c>
      <c r="V47" s="10" t="s">
        <v>733</v>
      </c>
    </row>
    <row r="48" customFormat="false" ht="23.85" hidden="false" customHeight="false" outlineLevel="0" collapsed="false">
      <c r="A48" s="10" t="s">
        <v>734</v>
      </c>
      <c r="B48" s="11" t="s">
        <v>735</v>
      </c>
      <c r="C48" s="10" t="s">
        <v>607</v>
      </c>
      <c r="D48" s="10" t="s">
        <v>283</v>
      </c>
      <c r="E48" s="10" t="s">
        <v>618</v>
      </c>
      <c r="F48" s="10" t="s">
        <v>52</v>
      </c>
      <c r="G48" s="10"/>
      <c r="H48" s="10" t="s">
        <v>598</v>
      </c>
      <c r="I48" s="10"/>
      <c r="J48" s="10"/>
      <c r="K48" s="10" t="s">
        <v>256</v>
      </c>
      <c r="L48" s="10" t="s">
        <v>344</v>
      </c>
      <c r="M48" s="10" t="s">
        <v>222</v>
      </c>
      <c r="N48" s="14" t="n">
        <f aca="false">INDEX(Settings!$B$4:$B$10,MATCH(M48,Settings!$A$4:$A$10,0))</f>
        <v>1800</v>
      </c>
      <c r="O48" s="15" t="n">
        <f aca="false">IF(E48="A",IF(I48&gt;=2022,Settings!$B$13,Settings!$B$14),IF(E48="B",Settings!$B$15,Settings!$B$16))+IF(F48="S",Settings!$B$17,0)</f>
        <v>0.04</v>
      </c>
      <c r="P48" s="14" t="n">
        <f aca="false">N48*O48</f>
        <v>72</v>
      </c>
      <c r="Q48" s="16" t="n">
        <f aca="false">P48*INDEX(Settings!$B$20:$B$22,MATCH(F48,Settings!$A$20:$A$22,0))</f>
        <v>43.2</v>
      </c>
      <c r="R48" s="10" t="s">
        <v>600</v>
      </c>
      <c r="S48" s="10" t="s">
        <v>619</v>
      </c>
      <c r="T48" s="10" t="s">
        <v>601</v>
      </c>
      <c r="U48" s="10" t="s">
        <v>602</v>
      </c>
      <c r="V48" s="10" t="s">
        <v>62</v>
      </c>
    </row>
    <row r="49" customFormat="false" ht="23.85" hidden="false" customHeight="false" outlineLevel="0" collapsed="false">
      <c r="A49" s="10" t="s">
        <v>736</v>
      </c>
      <c r="B49" s="11" t="s">
        <v>737</v>
      </c>
      <c r="C49" s="10" t="s">
        <v>719</v>
      </c>
      <c r="D49" s="10" t="s">
        <v>283</v>
      </c>
      <c r="E49" s="10" t="s">
        <v>618</v>
      </c>
      <c r="F49" s="10" t="s">
        <v>52</v>
      </c>
      <c r="G49" s="10"/>
      <c r="H49" s="10" t="s">
        <v>598</v>
      </c>
      <c r="I49" s="10"/>
      <c r="J49" s="10"/>
      <c r="K49" s="10" t="s">
        <v>220</v>
      </c>
      <c r="L49" s="10" t="s">
        <v>344</v>
      </c>
      <c r="M49" s="10" t="s">
        <v>222</v>
      </c>
      <c r="N49" s="14" t="n">
        <f aca="false">INDEX(Settings!$B$4:$B$10,MATCH(M49,Settings!$A$4:$A$10,0))</f>
        <v>1800</v>
      </c>
      <c r="O49" s="15" t="n">
        <f aca="false">IF(E49="A",IF(I49&gt;=2022,Settings!$B$13,Settings!$B$14),IF(E49="B",Settings!$B$15,Settings!$B$16))+IF(F49="S",Settings!$B$17,0)</f>
        <v>0.04</v>
      </c>
      <c r="P49" s="14" t="n">
        <f aca="false">N49*O49</f>
        <v>72</v>
      </c>
      <c r="Q49" s="16" t="n">
        <f aca="false">P49*INDEX(Settings!$B$20:$B$22,MATCH(F49,Settings!$A$20:$A$22,0))</f>
        <v>43.2</v>
      </c>
      <c r="R49" s="10" t="s">
        <v>600</v>
      </c>
      <c r="S49" s="10" t="s">
        <v>619</v>
      </c>
      <c r="T49" s="10" t="s">
        <v>601</v>
      </c>
      <c r="U49" s="10" t="s">
        <v>602</v>
      </c>
      <c r="V49" s="10" t="s">
        <v>62</v>
      </c>
    </row>
    <row r="50" customFormat="false" ht="23.85" hidden="false" customHeight="false" outlineLevel="0" collapsed="false">
      <c r="A50" s="10" t="s">
        <v>738</v>
      </c>
      <c r="B50" s="11" t="s">
        <v>739</v>
      </c>
      <c r="C50" s="10" t="s">
        <v>740</v>
      </c>
      <c r="D50" s="10" t="s">
        <v>15</v>
      </c>
      <c r="E50" s="10" t="s">
        <v>618</v>
      </c>
      <c r="F50" s="10" t="s">
        <v>52</v>
      </c>
      <c r="G50" s="10"/>
      <c r="H50" s="10" t="s">
        <v>598</v>
      </c>
      <c r="I50" s="10"/>
      <c r="J50" s="10"/>
      <c r="K50" s="10" t="s">
        <v>256</v>
      </c>
      <c r="L50" s="10" t="s">
        <v>344</v>
      </c>
      <c r="M50" s="10" t="s">
        <v>222</v>
      </c>
      <c r="N50" s="14" t="n">
        <f aca="false">INDEX(Settings!$B$4:$B$10,MATCH(M50,Settings!$A$4:$A$10,0))</f>
        <v>1800</v>
      </c>
      <c r="O50" s="15" t="n">
        <f aca="false">IF(E50="A",IF(I50&gt;=2022,Settings!$B$13,Settings!$B$14),IF(E50="B",Settings!$B$15,Settings!$B$16))+IF(F50="S",Settings!$B$17,0)</f>
        <v>0.04</v>
      </c>
      <c r="P50" s="14" t="n">
        <f aca="false">N50*O50</f>
        <v>72</v>
      </c>
      <c r="Q50" s="16" t="n">
        <f aca="false">P50*INDEX(Settings!$B$20:$B$22,MATCH(F50,Settings!$A$20:$A$22,0))</f>
        <v>43.2</v>
      </c>
      <c r="R50" s="10" t="s">
        <v>600</v>
      </c>
      <c r="S50" s="10" t="s">
        <v>619</v>
      </c>
      <c r="T50" s="10" t="s">
        <v>601</v>
      </c>
      <c r="U50" s="10" t="s">
        <v>602</v>
      </c>
      <c r="V50" s="10" t="s">
        <v>62</v>
      </c>
    </row>
    <row r="51" customFormat="false" ht="23.85" hidden="false" customHeight="false" outlineLevel="0" collapsed="false">
      <c r="A51" s="10" t="s">
        <v>741</v>
      </c>
      <c r="B51" s="11" t="s">
        <v>742</v>
      </c>
      <c r="C51" s="10" t="s">
        <v>743</v>
      </c>
      <c r="D51" s="10" t="s">
        <v>283</v>
      </c>
      <c r="E51" s="10" t="s">
        <v>618</v>
      </c>
      <c r="F51" s="10" t="s">
        <v>52</v>
      </c>
      <c r="G51" s="10"/>
      <c r="H51" s="10" t="s">
        <v>598</v>
      </c>
      <c r="I51" s="10"/>
      <c r="J51" s="10"/>
      <c r="K51" s="10" t="s">
        <v>350</v>
      </c>
      <c r="L51" s="10" t="s">
        <v>344</v>
      </c>
      <c r="M51" s="10" t="s">
        <v>222</v>
      </c>
      <c r="N51" s="14" t="n">
        <f aca="false">INDEX(Settings!$B$4:$B$10,MATCH(M51,Settings!$A$4:$A$10,0))</f>
        <v>1800</v>
      </c>
      <c r="O51" s="15" t="n">
        <f aca="false">IF(E51="A",IF(I51&gt;=2022,Settings!$B$13,Settings!$B$14),IF(E51="B",Settings!$B$15,Settings!$B$16))+IF(F51="S",Settings!$B$17,0)</f>
        <v>0.04</v>
      </c>
      <c r="P51" s="14" t="n">
        <f aca="false">N51*O51</f>
        <v>72</v>
      </c>
      <c r="Q51" s="16" t="n">
        <f aca="false">P51*INDEX(Settings!$B$20:$B$22,MATCH(F51,Settings!$A$20:$A$22,0))</f>
        <v>43.2</v>
      </c>
      <c r="R51" s="10" t="s">
        <v>600</v>
      </c>
      <c r="S51" s="10" t="s">
        <v>619</v>
      </c>
      <c r="T51" s="10" t="s">
        <v>601</v>
      </c>
      <c r="U51" s="10" t="s">
        <v>602</v>
      </c>
      <c r="V51" s="10" t="s">
        <v>62</v>
      </c>
    </row>
    <row r="52" customFormat="false" ht="23.85" hidden="false" customHeight="false" outlineLevel="0" collapsed="false">
      <c r="A52" s="10" t="s">
        <v>744</v>
      </c>
      <c r="B52" s="11" t="s">
        <v>745</v>
      </c>
      <c r="C52" s="10" t="s">
        <v>746</v>
      </c>
      <c r="D52" s="10" t="s">
        <v>14</v>
      </c>
      <c r="E52" s="10" t="s">
        <v>618</v>
      </c>
      <c r="F52" s="10" t="s">
        <v>52</v>
      </c>
      <c r="G52" s="10"/>
      <c r="H52" s="10" t="s">
        <v>598</v>
      </c>
      <c r="I52" s="10"/>
      <c r="J52" s="10"/>
      <c r="K52" s="10" t="s">
        <v>204</v>
      </c>
      <c r="L52" s="10" t="s">
        <v>344</v>
      </c>
      <c r="M52" s="10" t="s">
        <v>206</v>
      </c>
      <c r="N52" s="14" t="n">
        <f aca="false">INDEX(Settings!$B$4:$B$10,MATCH(M52,Settings!$A$4:$A$10,0))</f>
        <v>4800</v>
      </c>
      <c r="O52" s="15" t="n">
        <f aca="false">IF(E52="A",IF(I52&gt;=2022,Settings!$B$13,Settings!$B$14),IF(E52="B",Settings!$B$15,Settings!$B$16))+IF(F52="S",Settings!$B$17,0)</f>
        <v>0.04</v>
      </c>
      <c r="P52" s="14" t="n">
        <f aca="false">N52*O52</f>
        <v>192</v>
      </c>
      <c r="Q52" s="16" t="n">
        <f aca="false">P52*INDEX(Settings!$B$20:$B$22,MATCH(F52,Settings!$A$20:$A$22,0))</f>
        <v>115.2</v>
      </c>
      <c r="R52" s="10" t="s">
        <v>600</v>
      </c>
      <c r="S52" s="10" t="s">
        <v>619</v>
      </c>
      <c r="T52" s="10" t="s">
        <v>601</v>
      </c>
      <c r="U52" s="10" t="s">
        <v>602</v>
      </c>
      <c r="V52" s="10" t="s">
        <v>62</v>
      </c>
    </row>
    <row r="53" customFormat="false" ht="35.05" hidden="false" customHeight="false" outlineLevel="0" collapsed="false">
      <c r="A53" s="10" t="s">
        <v>747</v>
      </c>
      <c r="B53" s="11" t="s">
        <v>748</v>
      </c>
      <c r="C53" s="10" t="s">
        <v>389</v>
      </c>
      <c r="D53" s="10" t="s">
        <v>50</v>
      </c>
      <c r="E53" s="10" t="s">
        <v>618</v>
      </c>
      <c r="F53" s="10" t="s">
        <v>52</v>
      </c>
      <c r="G53" s="13" t="s">
        <v>622</v>
      </c>
      <c r="H53" s="10" t="s">
        <v>623</v>
      </c>
      <c r="I53" s="10" t="n">
        <v>2026</v>
      </c>
      <c r="J53" s="10" t="s">
        <v>203</v>
      </c>
      <c r="K53" s="10" t="s">
        <v>624</v>
      </c>
      <c r="L53" s="10" t="s">
        <v>344</v>
      </c>
      <c r="M53" s="10" t="s">
        <v>222</v>
      </c>
      <c r="N53" s="14" t="n">
        <f aca="false">INDEX(Settings!$B$4:$B$10,MATCH(M53,Settings!$A$4:$A$10,0))</f>
        <v>1800</v>
      </c>
      <c r="O53" s="15" t="n">
        <f aca="false">IF(E53="A",IF(I53&gt;=2022,Settings!$B$13,Settings!$B$14),IF(E53="B",Settings!$B$15,Settings!$B$16))+IF(F53="S",Settings!$B$17,0)</f>
        <v>0.04</v>
      </c>
      <c r="P53" s="14" t="n">
        <f aca="false">N53*O53</f>
        <v>72</v>
      </c>
      <c r="Q53" s="16" t="n">
        <f aca="false">P53*INDEX(Settings!$B$20:$B$22,MATCH(F53,Settings!$A$20:$A$22,0))</f>
        <v>43.2</v>
      </c>
      <c r="R53" s="10" t="s">
        <v>600</v>
      </c>
      <c r="S53" s="10" t="s">
        <v>619</v>
      </c>
      <c r="T53" s="10" t="s">
        <v>601</v>
      </c>
      <c r="U53" s="10" t="s">
        <v>602</v>
      </c>
      <c r="V53" s="10" t="s">
        <v>62</v>
      </c>
    </row>
    <row r="54" customFormat="false" ht="23.85" hidden="false" customHeight="false" outlineLevel="0" collapsed="false">
      <c r="A54" s="10" t="s">
        <v>749</v>
      </c>
      <c r="B54" s="11" t="s">
        <v>750</v>
      </c>
      <c r="C54" s="10" t="s">
        <v>751</v>
      </c>
      <c r="D54" s="10" t="s">
        <v>283</v>
      </c>
      <c r="E54" s="10" t="s">
        <v>618</v>
      </c>
      <c r="F54" s="10" t="s">
        <v>52</v>
      </c>
      <c r="G54" s="10"/>
      <c r="H54" s="10" t="s">
        <v>598</v>
      </c>
      <c r="I54" s="10"/>
      <c r="J54" s="10"/>
      <c r="K54" s="10" t="s">
        <v>228</v>
      </c>
      <c r="L54" s="10" t="s">
        <v>344</v>
      </c>
      <c r="M54" s="10" t="s">
        <v>222</v>
      </c>
      <c r="N54" s="14" t="n">
        <f aca="false">INDEX(Settings!$B$4:$B$10,MATCH(M54,Settings!$A$4:$A$10,0))</f>
        <v>1800</v>
      </c>
      <c r="O54" s="15" t="n">
        <f aca="false">IF(E54="A",IF(I54&gt;=2022,Settings!$B$13,Settings!$B$14),IF(E54="B",Settings!$B$15,Settings!$B$16))+IF(F54="S",Settings!$B$17,0)</f>
        <v>0.04</v>
      </c>
      <c r="P54" s="14" t="n">
        <f aca="false">N54*O54</f>
        <v>72</v>
      </c>
      <c r="Q54" s="16" t="n">
        <f aca="false">P54*INDEX(Settings!$B$20:$B$22,MATCH(F54,Settings!$A$20:$A$22,0))</f>
        <v>43.2</v>
      </c>
      <c r="R54" s="10" t="s">
        <v>600</v>
      </c>
      <c r="S54" s="10" t="s">
        <v>619</v>
      </c>
      <c r="T54" s="10" t="s">
        <v>601</v>
      </c>
      <c r="U54" s="10" t="s">
        <v>602</v>
      </c>
      <c r="V54" s="10" t="s">
        <v>62</v>
      </c>
    </row>
    <row r="55" customFormat="false" ht="23.85" hidden="false" customHeight="false" outlineLevel="0" collapsed="false">
      <c r="A55" s="10" t="s">
        <v>752</v>
      </c>
      <c r="B55" s="11" t="s">
        <v>753</v>
      </c>
      <c r="C55" s="10" t="s">
        <v>746</v>
      </c>
      <c r="D55" s="10" t="s">
        <v>14</v>
      </c>
      <c r="E55" s="10" t="s">
        <v>618</v>
      </c>
      <c r="F55" s="10" t="s">
        <v>52</v>
      </c>
      <c r="G55" s="10"/>
      <c r="H55" s="10" t="s">
        <v>598</v>
      </c>
      <c r="I55" s="10"/>
      <c r="J55" s="10"/>
      <c r="K55" s="10" t="s">
        <v>204</v>
      </c>
      <c r="L55" s="10" t="s">
        <v>344</v>
      </c>
      <c r="M55" s="10" t="s">
        <v>206</v>
      </c>
      <c r="N55" s="14" t="n">
        <f aca="false">INDEX(Settings!$B$4:$B$10,MATCH(M55,Settings!$A$4:$A$10,0))</f>
        <v>4800</v>
      </c>
      <c r="O55" s="15" t="n">
        <f aca="false">IF(E55="A",IF(I55&gt;=2022,Settings!$B$13,Settings!$B$14),IF(E55="B",Settings!$B$15,Settings!$B$16))+IF(F55="S",Settings!$B$17,0)</f>
        <v>0.04</v>
      </c>
      <c r="P55" s="14" t="n">
        <f aca="false">N55*O55</f>
        <v>192</v>
      </c>
      <c r="Q55" s="16" t="n">
        <f aca="false">P55*INDEX(Settings!$B$20:$B$22,MATCH(F55,Settings!$A$20:$A$22,0))</f>
        <v>115.2</v>
      </c>
      <c r="R55" s="10" t="s">
        <v>600</v>
      </c>
      <c r="S55" s="10" t="s">
        <v>619</v>
      </c>
      <c r="T55" s="10" t="s">
        <v>601</v>
      </c>
      <c r="U55" s="10" t="s">
        <v>602</v>
      </c>
      <c r="V55" s="10" t="s">
        <v>62</v>
      </c>
    </row>
    <row r="56" customFormat="false" ht="35.05" hidden="false" customHeight="false" outlineLevel="0" collapsed="false">
      <c r="A56" s="10" t="s">
        <v>754</v>
      </c>
      <c r="B56" s="11" t="s">
        <v>755</v>
      </c>
      <c r="C56" s="10" t="s">
        <v>389</v>
      </c>
      <c r="D56" s="10" t="s">
        <v>50</v>
      </c>
      <c r="E56" s="10" t="s">
        <v>618</v>
      </c>
      <c r="F56" s="10" t="s">
        <v>52</v>
      </c>
      <c r="G56" s="13" t="s">
        <v>622</v>
      </c>
      <c r="H56" s="10" t="s">
        <v>623</v>
      </c>
      <c r="I56" s="10" t="n">
        <v>2026</v>
      </c>
      <c r="J56" s="10" t="s">
        <v>203</v>
      </c>
      <c r="K56" s="10" t="s">
        <v>624</v>
      </c>
      <c r="L56" s="10" t="s">
        <v>344</v>
      </c>
      <c r="M56" s="10" t="s">
        <v>222</v>
      </c>
      <c r="N56" s="14" t="n">
        <f aca="false">INDEX(Settings!$B$4:$B$10,MATCH(M56,Settings!$A$4:$A$10,0))</f>
        <v>1800</v>
      </c>
      <c r="O56" s="15" t="n">
        <f aca="false">IF(E56="A",IF(I56&gt;=2022,Settings!$B$13,Settings!$B$14),IF(E56="B",Settings!$B$15,Settings!$B$16))+IF(F56="S",Settings!$B$17,0)</f>
        <v>0.04</v>
      </c>
      <c r="P56" s="14" t="n">
        <f aca="false">N56*O56</f>
        <v>72</v>
      </c>
      <c r="Q56" s="16" t="n">
        <f aca="false">P56*INDEX(Settings!$B$20:$B$22,MATCH(F56,Settings!$A$20:$A$22,0))</f>
        <v>43.2</v>
      </c>
      <c r="R56" s="10" t="s">
        <v>600</v>
      </c>
      <c r="S56" s="10" t="s">
        <v>619</v>
      </c>
      <c r="T56" s="10" t="s">
        <v>601</v>
      </c>
      <c r="U56" s="10" t="s">
        <v>602</v>
      </c>
      <c r="V56" s="10" t="s">
        <v>62</v>
      </c>
    </row>
    <row r="57" customFormat="false" ht="23.85" hidden="false" customHeight="false" outlineLevel="0" collapsed="false">
      <c r="A57" s="10" t="s">
        <v>756</v>
      </c>
      <c r="B57" s="11" t="s">
        <v>757</v>
      </c>
      <c r="C57" s="10" t="s">
        <v>758</v>
      </c>
      <c r="D57" s="10" t="s">
        <v>283</v>
      </c>
      <c r="E57" s="10" t="s">
        <v>618</v>
      </c>
      <c r="F57" s="10" t="s">
        <v>52</v>
      </c>
      <c r="G57" s="10"/>
      <c r="H57" s="10" t="s">
        <v>598</v>
      </c>
      <c r="I57" s="10"/>
      <c r="J57" s="10"/>
      <c r="K57" s="10" t="s">
        <v>256</v>
      </c>
      <c r="L57" s="10" t="s">
        <v>344</v>
      </c>
      <c r="M57" s="10" t="s">
        <v>222</v>
      </c>
      <c r="N57" s="14" t="n">
        <f aca="false">INDEX(Settings!$B$4:$B$10,MATCH(M57,Settings!$A$4:$A$10,0))</f>
        <v>1800</v>
      </c>
      <c r="O57" s="15" t="n">
        <f aca="false">IF(E57="A",IF(I57&gt;=2022,Settings!$B$13,Settings!$B$14),IF(E57="B",Settings!$B$15,Settings!$B$16))+IF(F57="S",Settings!$B$17,0)</f>
        <v>0.04</v>
      </c>
      <c r="P57" s="14" t="n">
        <f aca="false">N57*O57</f>
        <v>72</v>
      </c>
      <c r="Q57" s="16" t="n">
        <f aca="false">P57*INDEX(Settings!$B$20:$B$22,MATCH(F57,Settings!$A$20:$A$22,0))</f>
        <v>43.2</v>
      </c>
      <c r="R57" s="10" t="s">
        <v>600</v>
      </c>
      <c r="S57" s="10" t="s">
        <v>619</v>
      </c>
      <c r="T57" s="10" t="s">
        <v>601</v>
      </c>
      <c r="U57" s="10" t="s">
        <v>602</v>
      </c>
      <c r="V57" s="10" t="s">
        <v>62</v>
      </c>
    </row>
    <row r="58" customFormat="false" ht="23.85" hidden="false" customHeight="false" outlineLevel="0" collapsed="false">
      <c r="A58" s="10" t="s">
        <v>759</v>
      </c>
      <c r="B58" s="11" t="s">
        <v>760</v>
      </c>
      <c r="C58" s="10" t="s">
        <v>241</v>
      </c>
      <c r="D58" s="10" t="s">
        <v>283</v>
      </c>
      <c r="E58" s="10" t="s">
        <v>618</v>
      </c>
      <c r="F58" s="10" t="s">
        <v>52</v>
      </c>
      <c r="G58" s="10"/>
      <c r="H58" s="10" t="s">
        <v>598</v>
      </c>
      <c r="I58" s="10"/>
      <c r="J58" s="10"/>
      <c r="K58" s="10" t="s">
        <v>228</v>
      </c>
      <c r="L58" s="10" t="s">
        <v>344</v>
      </c>
      <c r="M58" s="10" t="s">
        <v>222</v>
      </c>
      <c r="N58" s="14" t="n">
        <f aca="false">INDEX(Settings!$B$4:$B$10,MATCH(M58,Settings!$A$4:$A$10,0))</f>
        <v>1800</v>
      </c>
      <c r="O58" s="15" t="n">
        <f aca="false">IF(E58="A",IF(I58&gt;=2022,Settings!$B$13,Settings!$B$14),IF(E58="B",Settings!$B$15,Settings!$B$16))+IF(F58="S",Settings!$B$17,0)</f>
        <v>0.04</v>
      </c>
      <c r="P58" s="14" t="n">
        <f aca="false">N58*O58</f>
        <v>72</v>
      </c>
      <c r="Q58" s="16" t="n">
        <f aca="false">P58*INDEX(Settings!$B$20:$B$22,MATCH(F58,Settings!$A$20:$A$22,0))</f>
        <v>43.2</v>
      </c>
      <c r="R58" s="10" t="s">
        <v>600</v>
      </c>
      <c r="S58" s="10" t="s">
        <v>619</v>
      </c>
      <c r="T58" s="10" t="s">
        <v>601</v>
      </c>
      <c r="U58" s="10" t="s">
        <v>602</v>
      </c>
      <c r="V58" s="10" t="s">
        <v>62</v>
      </c>
    </row>
    <row r="59" customFormat="false" ht="35.05" hidden="false" customHeight="false" outlineLevel="0" collapsed="false">
      <c r="A59" s="10" t="s">
        <v>761</v>
      </c>
      <c r="B59" s="11" t="s">
        <v>762</v>
      </c>
      <c r="C59" s="10" t="s">
        <v>389</v>
      </c>
      <c r="D59" s="10" t="s">
        <v>50</v>
      </c>
      <c r="E59" s="10" t="s">
        <v>618</v>
      </c>
      <c r="F59" s="10" t="s">
        <v>52</v>
      </c>
      <c r="G59" s="13" t="s">
        <v>622</v>
      </c>
      <c r="H59" s="10" t="s">
        <v>623</v>
      </c>
      <c r="I59" s="10" t="n">
        <v>2026</v>
      </c>
      <c r="J59" s="10" t="s">
        <v>203</v>
      </c>
      <c r="K59" s="10" t="s">
        <v>624</v>
      </c>
      <c r="L59" s="10" t="s">
        <v>344</v>
      </c>
      <c r="M59" s="10" t="s">
        <v>222</v>
      </c>
      <c r="N59" s="14" t="n">
        <f aca="false">INDEX(Settings!$B$4:$B$10,MATCH(M59,Settings!$A$4:$A$10,0))</f>
        <v>1800</v>
      </c>
      <c r="O59" s="15" t="n">
        <f aca="false">IF(E59="A",IF(I59&gt;=2022,Settings!$B$13,Settings!$B$14),IF(E59="B",Settings!$B$15,Settings!$B$16))+IF(F59="S",Settings!$B$17,0)</f>
        <v>0.04</v>
      </c>
      <c r="P59" s="14" t="n">
        <f aca="false">N59*O59</f>
        <v>72</v>
      </c>
      <c r="Q59" s="16" t="n">
        <f aca="false">P59*INDEX(Settings!$B$20:$B$22,MATCH(F59,Settings!$A$20:$A$22,0))</f>
        <v>43.2</v>
      </c>
      <c r="R59" s="10" t="s">
        <v>600</v>
      </c>
      <c r="S59" s="10" t="s">
        <v>619</v>
      </c>
      <c r="T59" s="10" t="s">
        <v>601</v>
      </c>
      <c r="U59" s="10" t="s">
        <v>602</v>
      </c>
      <c r="V59" s="10" t="s">
        <v>62</v>
      </c>
    </row>
    <row r="60" customFormat="false" ht="23.85" hidden="false" customHeight="false" outlineLevel="0" collapsed="false">
      <c r="A60" s="10" t="s">
        <v>763</v>
      </c>
      <c r="B60" s="11" t="s">
        <v>764</v>
      </c>
      <c r="C60" s="10" t="s">
        <v>640</v>
      </c>
      <c r="D60" s="10" t="s">
        <v>12</v>
      </c>
      <c r="E60" s="10" t="s">
        <v>618</v>
      </c>
      <c r="F60" s="10" t="s">
        <v>52</v>
      </c>
      <c r="G60" s="10"/>
      <c r="H60" s="10" t="s">
        <v>598</v>
      </c>
      <c r="I60" s="10"/>
      <c r="J60" s="10"/>
      <c r="K60" s="10" t="s">
        <v>204</v>
      </c>
      <c r="L60" s="10" t="s">
        <v>344</v>
      </c>
      <c r="M60" s="10" t="s">
        <v>206</v>
      </c>
      <c r="N60" s="14" t="n">
        <f aca="false">INDEX(Settings!$B$4:$B$10,MATCH(M60,Settings!$A$4:$A$10,0))</f>
        <v>4800</v>
      </c>
      <c r="O60" s="15" t="n">
        <f aca="false">IF(E60="A",IF(I60&gt;=2022,Settings!$B$13,Settings!$B$14),IF(E60="B",Settings!$B$15,Settings!$B$16))+IF(F60="S",Settings!$B$17,0)</f>
        <v>0.04</v>
      </c>
      <c r="P60" s="14" t="n">
        <f aca="false">N60*O60</f>
        <v>192</v>
      </c>
      <c r="Q60" s="16" t="n">
        <f aca="false">P60*INDEX(Settings!$B$20:$B$22,MATCH(F60,Settings!$A$20:$A$22,0))</f>
        <v>115.2</v>
      </c>
      <c r="R60" s="10" t="s">
        <v>600</v>
      </c>
      <c r="S60" s="10" t="s">
        <v>619</v>
      </c>
      <c r="T60" s="10" t="s">
        <v>601</v>
      </c>
      <c r="U60" s="10" t="s">
        <v>602</v>
      </c>
      <c r="V60" s="10" t="s">
        <v>62</v>
      </c>
    </row>
    <row r="61" customFormat="false" ht="23.85" hidden="false" customHeight="false" outlineLevel="0" collapsed="false">
      <c r="A61" s="10" t="s">
        <v>765</v>
      </c>
      <c r="B61" s="11" t="s">
        <v>766</v>
      </c>
      <c r="C61" s="10" t="s">
        <v>767</v>
      </c>
      <c r="D61" s="10" t="s">
        <v>14</v>
      </c>
      <c r="E61" s="10" t="s">
        <v>618</v>
      </c>
      <c r="F61" s="10" t="s">
        <v>52</v>
      </c>
      <c r="G61" s="10"/>
      <c r="H61" s="10" t="s">
        <v>598</v>
      </c>
      <c r="I61" s="10"/>
      <c r="J61" s="10"/>
      <c r="K61" s="10" t="s">
        <v>220</v>
      </c>
      <c r="L61" s="10" t="s">
        <v>344</v>
      </c>
      <c r="M61" s="10" t="s">
        <v>222</v>
      </c>
      <c r="N61" s="14" t="n">
        <f aca="false">INDEX(Settings!$B$4:$B$10,MATCH(M61,Settings!$A$4:$A$10,0))</f>
        <v>1800</v>
      </c>
      <c r="O61" s="15" t="n">
        <f aca="false">IF(E61="A",IF(I61&gt;=2022,Settings!$B$13,Settings!$B$14),IF(E61="B",Settings!$B$15,Settings!$B$16))+IF(F61="S",Settings!$B$17,0)</f>
        <v>0.04</v>
      </c>
      <c r="P61" s="14" t="n">
        <f aca="false">N61*O61</f>
        <v>72</v>
      </c>
      <c r="Q61" s="16" t="n">
        <f aca="false">P61*INDEX(Settings!$B$20:$B$22,MATCH(F61,Settings!$A$20:$A$22,0))</f>
        <v>43.2</v>
      </c>
      <c r="R61" s="10" t="s">
        <v>600</v>
      </c>
      <c r="S61" s="10" t="s">
        <v>619</v>
      </c>
      <c r="T61" s="10" t="s">
        <v>601</v>
      </c>
      <c r="U61" s="10" t="s">
        <v>602</v>
      </c>
      <c r="V61" s="10" t="s">
        <v>62</v>
      </c>
    </row>
    <row r="62" customFormat="false" ht="23.85" hidden="false" customHeight="false" outlineLevel="0" collapsed="false">
      <c r="A62" s="10" t="s">
        <v>768</v>
      </c>
      <c r="B62" s="11" t="s">
        <v>769</v>
      </c>
      <c r="C62" s="10" t="s">
        <v>770</v>
      </c>
      <c r="D62" s="10" t="s">
        <v>283</v>
      </c>
      <c r="E62" s="10" t="s">
        <v>618</v>
      </c>
      <c r="F62" s="10" t="s">
        <v>52</v>
      </c>
      <c r="G62" s="10"/>
      <c r="H62" s="10" t="s">
        <v>598</v>
      </c>
      <c r="I62" s="10"/>
      <c r="J62" s="10"/>
      <c r="K62" s="10" t="s">
        <v>220</v>
      </c>
      <c r="L62" s="10" t="s">
        <v>344</v>
      </c>
      <c r="M62" s="10" t="s">
        <v>206</v>
      </c>
      <c r="N62" s="14" t="n">
        <f aca="false">INDEX(Settings!$B$4:$B$10,MATCH(M62,Settings!$A$4:$A$10,0))</f>
        <v>4800</v>
      </c>
      <c r="O62" s="15" t="n">
        <f aca="false">IF(E62="A",IF(I62&gt;=2022,Settings!$B$13,Settings!$B$14),IF(E62="B",Settings!$B$15,Settings!$B$16))+IF(F62="S",Settings!$B$17,0)</f>
        <v>0.04</v>
      </c>
      <c r="P62" s="14" t="n">
        <f aca="false">N62*O62</f>
        <v>192</v>
      </c>
      <c r="Q62" s="16" t="n">
        <f aca="false">P62*INDEX(Settings!$B$20:$B$22,MATCH(F62,Settings!$A$20:$A$22,0))</f>
        <v>115.2</v>
      </c>
      <c r="R62" s="10" t="s">
        <v>600</v>
      </c>
      <c r="S62" s="10" t="s">
        <v>619</v>
      </c>
      <c r="T62" s="10" t="s">
        <v>601</v>
      </c>
      <c r="U62" s="10" t="s">
        <v>602</v>
      </c>
      <c r="V62" s="10" t="s">
        <v>62</v>
      </c>
    </row>
    <row r="63" customFormat="false" ht="23.85" hidden="false" customHeight="false" outlineLevel="0" collapsed="false">
      <c r="A63" s="10" t="s">
        <v>771</v>
      </c>
      <c r="B63" s="11" t="s">
        <v>772</v>
      </c>
      <c r="C63" s="10" t="s">
        <v>773</v>
      </c>
      <c r="D63" s="10" t="s">
        <v>12</v>
      </c>
      <c r="E63" s="10" t="s">
        <v>618</v>
      </c>
      <c r="F63" s="10" t="s">
        <v>52</v>
      </c>
      <c r="G63" s="10"/>
      <c r="H63" s="10" t="s">
        <v>598</v>
      </c>
      <c r="I63" s="10"/>
      <c r="J63" s="10"/>
      <c r="K63" s="10" t="s">
        <v>220</v>
      </c>
      <c r="L63" s="10" t="s">
        <v>344</v>
      </c>
      <c r="M63" s="10" t="s">
        <v>222</v>
      </c>
      <c r="N63" s="14" t="n">
        <f aca="false">INDEX(Settings!$B$4:$B$10,MATCH(M63,Settings!$A$4:$A$10,0))</f>
        <v>1800</v>
      </c>
      <c r="O63" s="15" t="n">
        <f aca="false">IF(E63="A",IF(I63&gt;=2022,Settings!$B$13,Settings!$B$14),IF(E63="B",Settings!$B$15,Settings!$B$16))+IF(F63="S",Settings!$B$17,0)</f>
        <v>0.04</v>
      </c>
      <c r="P63" s="14" t="n">
        <f aca="false">N63*O63</f>
        <v>72</v>
      </c>
      <c r="Q63" s="16" t="n">
        <f aca="false">P63*INDEX(Settings!$B$20:$B$22,MATCH(F63,Settings!$A$20:$A$22,0))</f>
        <v>43.2</v>
      </c>
      <c r="R63" s="10" t="s">
        <v>600</v>
      </c>
      <c r="S63" s="10" t="s">
        <v>619</v>
      </c>
      <c r="T63" s="10" t="s">
        <v>601</v>
      </c>
      <c r="U63" s="10" t="s">
        <v>602</v>
      </c>
      <c r="V63" s="10" t="s">
        <v>62</v>
      </c>
    </row>
    <row r="64" customFormat="false" ht="23.85" hidden="false" customHeight="false" outlineLevel="0" collapsed="false">
      <c r="A64" s="10" t="s">
        <v>774</v>
      </c>
      <c r="B64" s="11" t="s">
        <v>775</v>
      </c>
      <c r="C64" s="10" t="s">
        <v>241</v>
      </c>
      <c r="D64" s="10" t="s">
        <v>283</v>
      </c>
      <c r="E64" s="10" t="s">
        <v>618</v>
      </c>
      <c r="F64" s="10" t="s">
        <v>52</v>
      </c>
      <c r="G64" s="10"/>
      <c r="H64" s="10" t="s">
        <v>598</v>
      </c>
      <c r="I64" s="10"/>
      <c r="J64" s="10"/>
      <c r="K64" s="10" t="s">
        <v>228</v>
      </c>
      <c r="L64" s="10" t="s">
        <v>344</v>
      </c>
      <c r="M64" s="10" t="s">
        <v>222</v>
      </c>
      <c r="N64" s="14" t="n">
        <f aca="false">INDEX(Settings!$B$4:$B$10,MATCH(M64,Settings!$A$4:$A$10,0))</f>
        <v>1800</v>
      </c>
      <c r="O64" s="15" t="n">
        <f aca="false">IF(E64="A",IF(I64&gt;=2022,Settings!$B$13,Settings!$B$14),IF(E64="B",Settings!$B$15,Settings!$B$16))+IF(F64="S",Settings!$B$17,0)</f>
        <v>0.04</v>
      </c>
      <c r="P64" s="14" t="n">
        <f aca="false">N64*O64</f>
        <v>72</v>
      </c>
      <c r="Q64" s="16" t="n">
        <f aca="false">P64*INDEX(Settings!$B$20:$B$22,MATCH(F64,Settings!$A$20:$A$22,0))</f>
        <v>43.2</v>
      </c>
      <c r="R64" s="10" t="s">
        <v>600</v>
      </c>
      <c r="S64" s="10" t="s">
        <v>619</v>
      </c>
      <c r="T64" s="10" t="s">
        <v>601</v>
      </c>
      <c r="U64" s="10" t="s">
        <v>602</v>
      </c>
      <c r="V64" s="10" t="s">
        <v>62</v>
      </c>
    </row>
    <row r="65" customFormat="false" ht="35.05" hidden="false" customHeight="false" outlineLevel="0" collapsed="false">
      <c r="A65" s="10" t="s">
        <v>776</v>
      </c>
      <c r="B65" s="11" t="s">
        <v>777</v>
      </c>
      <c r="C65" s="10" t="s">
        <v>389</v>
      </c>
      <c r="D65" s="10" t="s">
        <v>50</v>
      </c>
      <c r="E65" s="10" t="s">
        <v>618</v>
      </c>
      <c r="F65" s="10" t="s">
        <v>52</v>
      </c>
      <c r="G65" s="13" t="s">
        <v>622</v>
      </c>
      <c r="H65" s="10" t="s">
        <v>623</v>
      </c>
      <c r="I65" s="10" t="n">
        <v>2026</v>
      </c>
      <c r="J65" s="10" t="s">
        <v>203</v>
      </c>
      <c r="K65" s="10" t="s">
        <v>624</v>
      </c>
      <c r="L65" s="10" t="s">
        <v>344</v>
      </c>
      <c r="M65" s="10" t="s">
        <v>222</v>
      </c>
      <c r="N65" s="14" t="n">
        <f aca="false">INDEX(Settings!$B$4:$B$10,MATCH(M65,Settings!$A$4:$A$10,0))</f>
        <v>1800</v>
      </c>
      <c r="O65" s="15" t="n">
        <f aca="false">IF(E65="A",IF(I65&gt;=2022,Settings!$B$13,Settings!$B$14),IF(E65="B",Settings!$B$15,Settings!$B$16))+IF(F65="S",Settings!$B$17,0)</f>
        <v>0.04</v>
      </c>
      <c r="P65" s="14" t="n">
        <f aca="false">N65*O65</f>
        <v>72</v>
      </c>
      <c r="Q65" s="16" t="n">
        <f aca="false">P65*INDEX(Settings!$B$20:$B$22,MATCH(F65,Settings!$A$20:$A$22,0))</f>
        <v>43.2</v>
      </c>
      <c r="R65" s="10" t="s">
        <v>600</v>
      </c>
      <c r="S65" s="10" t="s">
        <v>619</v>
      </c>
      <c r="T65" s="10" t="s">
        <v>601</v>
      </c>
      <c r="U65" s="10" t="s">
        <v>602</v>
      </c>
      <c r="V65" s="10" t="s">
        <v>62</v>
      </c>
    </row>
    <row r="66" customFormat="false" ht="23.85" hidden="false" customHeight="false" outlineLevel="0" collapsed="false">
      <c r="A66" s="10" t="s">
        <v>778</v>
      </c>
      <c r="B66" s="11" t="s">
        <v>779</v>
      </c>
      <c r="C66" s="10" t="s">
        <v>780</v>
      </c>
      <c r="D66" s="10" t="s">
        <v>14</v>
      </c>
      <c r="E66" s="10" t="s">
        <v>618</v>
      </c>
      <c r="F66" s="10" t="s">
        <v>52</v>
      </c>
      <c r="G66" s="10"/>
      <c r="H66" s="10" t="s">
        <v>598</v>
      </c>
      <c r="I66" s="10"/>
      <c r="J66" s="10"/>
      <c r="K66" s="10" t="s">
        <v>220</v>
      </c>
      <c r="L66" s="10" t="s">
        <v>344</v>
      </c>
      <c r="M66" s="10" t="s">
        <v>222</v>
      </c>
      <c r="N66" s="14" t="n">
        <f aca="false">INDEX(Settings!$B$4:$B$10,MATCH(M66,Settings!$A$4:$A$10,0))</f>
        <v>1800</v>
      </c>
      <c r="O66" s="15" t="n">
        <f aca="false">IF(E66="A",IF(I66&gt;=2022,Settings!$B$13,Settings!$B$14),IF(E66="B",Settings!$B$15,Settings!$B$16))+IF(F66="S",Settings!$B$17,0)</f>
        <v>0.04</v>
      </c>
      <c r="P66" s="14" t="n">
        <f aca="false">N66*O66</f>
        <v>72</v>
      </c>
      <c r="Q66" s="16" t="n">
        <f aca="false">P66*INDEX(Settings!$B$20:$B$22,MATCH(F66,Settings!$A$20:$A$22,0))</f>
        <v>43.2</v>
      </c>
      <c r="R66" s="10" t="s">
        <v>600</v>
      </c>
      <c r="S66" s="10" t="s">
        <v>619</v>
      </c>
      <c r="T66" s="10" t="s">
        <v>601</v>
      </c>
      <c r="U66" s="10" t="s">
        <v>602</v>
      </c>
      <c r="V66" s="10" t="s">
        <v>62</v>
      </c>
    </row>
    <row r="67" customFormat="false" ht="35.05" hidden="false" customHeight="false" outlineLevel="0" collapsed="false">
      <c r="A67" s="10" t="s">
        <v>781</v>
      </c>
      <c r="B67" s="11" t="s">
        <v>782</v>
      </c>
      <c r="C67" s="10" t="s">
        <v>389</v>
      </c>
      <c r="D67" s="10" t="s">
        <v>50</v>
      </c>
      <c r="E67" s="10" t="s">
        <v>618</v>
      </c>
      <c r="F67" s="10" t="s">
        <v>52</v>
      </c>
      <c r="G67" s="13" t="s">
        <v>622</v>
      </c>
      <c r="H67" s="10" t="s">
        <v>623</v>
      </c>
      <c r="I67" s="10" t="n">
        <v>2026</v>
      </c>
      <c r="J67" s="10" t="s">
        <v>203</v>
      </c>
      <c r="K67" s="10" t="s">
        <v>624</v>
      </c>
      <c r="L67" s="10" t="s">
        <v>344</v>
      </c>
      <c r="M67" s="10" t="s">
        <v>222</v>
      </c>
      <c r="N67" s="14" t="n">
        <f aca="false">INDEX(Settings!$B$4:$B$10,MATCH(M67,Settings!$A$4:$A$10,0))</f>
        <v>1800</v>
      </c>
      <c r="O67" s="15" t="n">
        <f aca="false">IF(E67="A",IF(I67&gt;=2022,Settings!$B$13,Settings!$B$14),IF(E67="B",Settings!$B$15,Settings!$B$16))+IF(F67="S",Settings!$B$17,0)</f>
        <v>0.04</v>
      </c>
      <c r="P67" s="14" t="n">
        <f aca="false">N67*O67</f>
        <v>72</v>
      </c>
      <c r="Q67" s="16" t="n">
        <f aca="false">P67*INDEX(Settings!$B$20:$B$22,MATCH(F67,Settings!$A$20:$A$22,0))</f>
        <v>43.2</v>
      </c>
      <c r="R67" s="10" t="s">
        <v>600</v>
      </c>
      <c r="S67" s="10" t="s">
        <v>619</v>
      </c>
      <c r="T67" s="10" t="s">
        <v>601</v>
      </c>
      <c r="U67" s="10" t="s">
        <v>602</v>
      </c>
      <c r="V67" s="10" t="s">
        <v>62</v>
      </c>
    </row>
    <row r="68" customFormat="false" ht="23.85" hidden="false" customHeight="false" outlineLevel="0" collapsed="false">
      <c r="A68" s="10" t="s">
        <v>783</v>
      </c>
      <c r="B68" s="11" t="s">
        <v>784</v>
      </c>
      <c r="C68" s="10" t="s">
        <v>785</v>
      </c>
      <c r="D68" s="10" t="s">
        <v>15</v>
      </c>
      <c r="E68" s="10" t="s">
        <v>618</v>
      </c>
      <c r="F68" s="10" t="s">
        <v>52</v>
      </c>
      <c r="G68" s="10"/>
      <c r="H68" s="10" t="s">
        <v>598</v>
      </c>
      <c r="I68" s="10"/>
      <c r="J68" s="10"/>
      <c r="K68" s="10" t="s">
        <v>220</v>
      </c>
      <c r="L68" s="10" t="s">
        <v>344</v>
      </c>
      <c r="M68" s="10" t="s">
        <v>222</v>
      </c>
      <c r="N68" s="14" t="n">
        <f aca="false">INDEX(Settings!$B$4:$B$10,MATCH(M68,Settings!$A$4:$A$10,0))</f>
        <v>1800</v>
      </c>
      <c r="O68" s="15" t="n">
        <f aca="false">IF(E68="A",IF(I68&gt;=2022,Settings!$B$13,Settings!$B$14),IF(E68="B",Settings!$B$15,Settings!$B$16))+IF(F68="S",Settings!$B$17,0)</f>
        <v>0.04</v>
      </c>
      <c r="P68" s="14" t="n">
        <f aca="false">N68*O68</f>
        <v>72</v>
      </c>
      <c r="Q68" s="16" t="n">
        <f aca="false">P68*INDEX(Settings!$B$20:$B$22,MATCH(F68,Settings!$A$20:$A$22,0))</f>
        <v>43.2</v>
      </c>
      <c r="R68" s="10" t="s">
        <v>600</v>
      </c>
      <c r="S68" s="10" t="s">
        <v>619</v>
      </c>
      <c r="T68" s="10" t="s">
        <v>601</v>
      </c>
      <c r="U68" s="10" t="s">
        <v>602</v>
      </c>
      <c r="V68" s="10" t="s">
        <v>62</v>
      </c>
    </row>
    <row r="69" customFormat="false" ht="23.85" hidden="false" customHeight="false" outlineLevel="0" collapsed="false">
      <c r="A69" s="10" t="s">
        <v>786</v>
      </c>
      <c r="B69" s="11" t="s">
        <v>787</v>
      </c>
      <c r="C69" s="10" t="s">
        <v>675</v>
      </c>
      <c r="D69" s="10" t="s">
        <v>283</v>
      </c>
      <c r="E69" s="10" t="s">
        <v>618</v>
      </c>
      <c r="F69" s="10" t="s">
        <v>52</v>
      </c>
      <c r="G69" s="10"/>
      <c r="H69" s="10" t="s">
        <v>598</v>
      </c>
      <c r="I69" s="10"/>
      <c r="J69" s="10"/>
      <c r="K69" s="10" t="s">
        <v>220</v>
      </c>
      <c r="L69" s="10" t="s">
        <v>344</v>
      </c>
      <c r="M69" s="10" t="s">
        <v>222</v>
      </c>
      <c r="N69" s="14" t="n">
        <f aca="false">INDEX(Settings!$B$4:$B$10,MATCH(M69,Settings!$A$4:$A$10,0))</f>
        <v>1800</v>
      </c>
      <c r="O69" s="15" t="n">
        <f aca="false">IF(E69="A",IF(I69&gt;=2022,Settings!$B$13,Settings!$B$14),IF(E69="B",Settings!$B$15,Settings!$B$16))+IF(F69="S",Settings!$B$17,0)</f>
        <v>0.04</v>
      </c>
      <c r="P69" s="14" t="n">
        <f aca="false">N69*O69</f>
        <v>72</v>
      </c>
      <c r="Q69" s="16" t="n">
        <f aca="false">P69*INDEX(Settings!$B$20:$B$22,MATCH(F69,Settings!$A$20:$A$22,0))</f>
        <v>43.2</v>
      </c>
      <c r="R69" s="10" t="s">
        <v>600</v>
      </c>
      <c r="S69" s="10" t="s">
        <v>619</v>
      </c>
      <c r="T69" s="10" t="s">
        <v>601</v>
      </c>
      <c r="U69" s="10" t="s">
        <v>602</v>
      </c>
      <c r="V69" s="10" t="s">
        <v>62</v>
      </c>
    </row>
    <row r="70" customFormat="false" ht="35.05" hidden="false" customHeight="false" outlineLevel="0" collapsed="false">
      <c r="A70" s="10" t="s">
        <v>788</v>
      </c>
      <c r="B70" s="11" t="s">
        <v>789</v>
      </c>
      <c r="C70" s="10" t="s">
        <v>389</v>
      </c>
      <c r="D70" s="10" t="s">
        <v>50</v>
      </c>
      <c r="E70" s="10" t="s">
        <v>618</v>
      </c>
      <c r="F70" s="10" t="s">
        <v>52</v>
      </c>
      <c r="G70" s="13" t="s">
        <v>622</v>
      </c>
      <c r="H70" s="10" t="s">
        <v>623</v>
      </c>
      <c r="I70" s="10" t="n">
        <v>2026</v>
      </c>
      <c r="J70" s="10" t="s">
        <v>203</v>
      </c>
      <c r="K70" s="10" t="s">
        <v>624</v>
      </c>
      <c r="L70" s="10" t="s">
        <v>344</v>
      </c>
      <c r="M70" s="10" t="s">
        <v>222</v>
      </c>
      <c r="N70" s="14" t="n">
        <f aca="false">INDEX(Settings!$B$4:$B$10,MATCH(M70,Settings!$A$4:$A$10,0))</f>
        <v>1800</v>
      </c>
      <c r="O70" s="15" t="n">
        <f aca="false">IF(E70="A",IF(I70&gt;=2022,Settings!$B$13,Settings!$B$14),IF(E70="B",Settings!$B$15,Settings!$B$16))+IF(F70="S",Settings!$B$17,0)</f>
        <v>0.04</v>
      </c>
      <c r="P70" s="14" t="n">
        <f aca="false">N70*O70</f>
        <v>72</v>
      </c>
      <c r="Q70" s="16" t="n">
        <f aca="false">P70*INDEX(Settings!$B$20:$B$22,MATCH(F70,Settings!$A$20:$A$22,0))</f>
        <v>43.2</v>
      </c>
      <c r="R70" s="10" t="s">
        <v>600</v>
      </c>
      <c r="S70" s="10" t="s">
        <v>619</v>
      </c>
      <c r="T70" s="10" t="s">
        <v>601</v>
      </c>
      <c r="U70" s="10" t="s">
        <v>602</v>
      </c>
      <c r="V70" s="10" t="s">
        <v>62</v>
      </c>
    </row>
  </sheetData>
  <autoFilter ref="A1:V70"/>
  <dataValidations count="1">
    <dataValidation allowBlank="false" errorStyle="stop" operator="between" showDropDown="false" showErrorMessage="false" showInputMessage="false" sqref="R2:R70" type="list">
      <formula1>"To contact,Contacted,Replied,Call booked,Proposal sent,Won,Lost,Parked"</formula1>
      <formula2>0</formula2>
    </dataValidation>
  </dataValidations>
  <hyperlinks>
    <hyperlink ref="G3" r:id="rId1" display="https://www.doutorfinancas.pt/seguro-vida-geral/"/>
    <hyperlink ref="G7" r:id="rId2" display="https://www.doutorfinancas.pt/seguro-vida-geral/"/>
    <hyperlink ref="G8" r:id="rId3" display="https://www.doutorfinancas.pt/seguro-vida-geral/"/>
    <hyperlink ref="G15" r:id="rId4" display="https://www.doutorfinancas.pt/seguro-vida-geral/"/>
    <hyperlink ref="G18" r:id="rId5" display="https://www.doutorfinancas.pt/seguro-vida-geral/"/>
    <hyperlink ref="G23" r:id="rId6" display="https://www.doutorfinancas.pt/seguro-vida-geral/"/>
    <hyperlink ref="G26" r:id="rId7" display="https://www.essential-business.pt/?p=16891"/>
    <hyperlink ref="G31" r:id="rId8" display="https://www.doutorfinancas.pt/seguro-vida-geral/"/>
    <hyperlink ref="G34" r:id="rId9" display="https://www.doutorfinancas.pt/seguro-vida-geral/"/>
    <hyperlink ref="G43" r:id="rId10" display="https://www.doutorfinancas.pt/seguro-vida-geral/"/>
    <hyperlink ref="G44" r:id="rId11" display="https://www.doutorfinancas.pt/seguro-vida-geral/"/>
    <hyperlink ref="G46" r:id="rId12" display="https://www.doutorfinancas.pt/seguro-vida-geral/"/>
    <hyperlink ref="G47" r:id="rId13" display="https://www.essential-business.pt/?p=11819"/>
    <hyperlink ref="G53" r:id="rId14" display="https://www.doutorfinancas.pt/seguro-vida-geral/"/>
    <hyperlink ref="G56" r:id="rId15" display="https://www.doutorfinancas.pt/seguro-vida-geral/"/>
    <hyperlink ref="G59" r:id="rId16" display="https://www.doutorfinancas.pt/seguro-vida-geral/"/>
    <hyperlink ref="G65" r:id="rId17" display="https://www.doutorfinancas.pt/seguro-vida-geral/"/>
    <hyperlink ref="G67" r:id="rId18" display="https://www.doutorfinancas.pt/seguro-vida-geral/"/>
    <hyperlink ref="G70" r:id="rId19" display="https://www.doutorfinancas.pt/seguro-vida-geral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32"/>
    <col collapsed="false" customWidth="true" hidden="false" outlineLevel="0" max="4" min="4" style="0" width="14"/>
    <col collapsed="false" customWidth="true" hidden="false" outlineLevel="0" max="5" min="5" style="0" width="6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10" min="9" style="0" width="34"/>
    <col collapsed="false" customWidth="true" hidden="false" outlineLevel="0" max="11" min="11" style="0" width="12"/>
    <col collapsed="false" customWidth="true" hidden="false" outlineLevel="0" max="12" min="12" style="0" width="14"/>
  </cols>
  <sheetData>
    <row r="1" customFormat="false" ht="23.85" hidden="false" customHeight="false" outlineLevel="0" collapsed="false">
      <c r="A1" s="9" t="s">
        <v>790</v>
      </c>
      <c r="B1" s="9" t="s">
        <v>27</v>
      </c>
      <c r="C1" s="9" t="s">
        <v>28</v>
      </c>
      <c r="D1" s="9" t="s">
        <v>30</v>
      </c>
      <c r="E1" s="9" t="s">
        <v>31</v>
      </c>
      <c r="F1" s="9" t="s">
        <v>39</v>
      </c>
      <c r="G1" s="9" t="s">
        <v>3</v>
      </c>
      <c r="H1" s="9" t="s">
        <v>42</v>
      </c>
      <c r="I1" s="9" t="s">
        <v>37</v>
      </c>
      <c r="J1" s="9" t="s">
        <v>38</v>
      </c>
      <c r="K1" s="9" t="s">
        <v>791</v>
      </c>
      <c r="L1" s="9" t="s">
        <v>19</v>
      </c>
    </row>
    <row r="2" customFormat="false" ht="23.85" hidden="false" customHeight="false" outlineLevel="0" collapsed="false">
      <c r="A2" s="4" t="n">
        <v>1</v>
      </c>
      <c r="B2" s="4" t="s">
        <v>197</v>
      </c>
      <c r="C2" s="11" t="str">
        <f aca="false">INDEX('Pipeline A-B'!$B$2:$B$107,MATCH($B2,'Pipeline A-B'!$A$2:$A$107,0))</f>
        <v>ABANCA</v>
      </c>
      <c r="D2" s="10" t="str">
        <f aca="false">INDEX('Pipeline A-B'!$D$2:$D$107,MATCH($B2,'Pipeline A-B'!$A$2:$A$107,0))</f>
        <v>CH</v>
      </c>
      <c r="E2" s="10" t="str">
        <f aca="false">INDEX('Pipeline A-B'!$E$2:$E$107,MATCH($B2,'Pipeline A-B'!$A$2:$A$107,0))</f>
        <v>A</v>
      </c>
      <c r="F2" s="10" t="str">
        <f aca="false">INDEX('Pipeline A-B'!$M$2:$M$107,MATCH($B2,'Pipeline A-B'!$A$2:$A$107,0))</f>
        <v>Gold</v>
      </c>
      <c r="G2" s="18" t="n">
        <f aca="false">INDEX('Pipeline A-B'!$P$2:$P$107,MATCH($B2,'Pipeline A-B'!$A$2:$A$107,0))</f>
        <v>1200</v>
      </c>
      <c r="H2" s="19" t="n">
        <f aca="false">INDEX('Pipeline A-B'!$Q$2:$Q$107,MATCH($B2,'Pipeline A-B'!$A$2:$A$107,0))</f>
        <v>1200</v>
      </c>
      <c r="I2" s="10" t="str">
        <f aca="false">INDEX('Pipeline A-B'!$K$2:$K$107,MATCH($B2,'Pipeline A-B'!$A$2:$A$107,0))</f>
        <v>Marketing lead, non-resident / emigrant segment</v>
      </c>
      <c r="J2" s="10" t="str">
        <f aca="false">INDEX('Pipeline A-B'!$L$2:$L$107,MATCH($B2,'Pipeline A-B'!$A$2:$A$107,0))</f>
        <v>Website: abanca.pt</v>
      </c>
      <c r="K2" s="10" t="str">
        <f aca="false">INDEX('Pipeline A-B'!$T$2:$T$107,MATCH($B2,'Pipeline A-B'!$A$2:$A$107,0))</f>
        <v>2026-10-26</v>
      </c>
      <c r="L2" s="10" t="str">
        <f aca="false">INDEX('Pipeline A-B'!$R$2:$R$107,MATCH($B2,'Pipeline A-B'!$A$2:$A$107,0))</f>
        <v>To contact</v>
      </c>
    </row>
    <row r="3" customFormat="false" ht="23.85" hidden="false" customHeight="false" outlineLevel="0" collapsed="false">
      <c r="A3" s="4" t="n">
        <v>2</v>
      </c>
      <c r="B3" s="4" t="s">
        <v>209</v>
      </c>
      <c r="C3" s="11" t="str">
        <f aca="false">INDEX('Pipeline A-B'!$B$2:$B$107,MATCH($B3,'Pipeline A-B'!$A$2:$A$107,0))</f>
        <v>Banque BCP</v>
      </c>
      <c r="D3" s="10" t="str">
        <f aca="false">INDEX('Pipeline A-B'!$D$2:$D$107,MATCH($B3,'Pipeline A-B'!$A$2:$A$107,0))</f>
        <v>FR</v>
      </c>
      <c r="E3" s="10" t="str">
        <f aca="false">INDEX('Pipeline A-B'!$E$2:$E$107,MATCH($B3,'Pipeline A-B'!$A$2:$A$107,0))</f>
        <v>A</v>
      </c>
      <c r="F3" s="10" t="str">
        <f aca="false">INDEX('Pipeline A-B'!$M$2:$M$107,MATCH($B3,'Pipeline A-B'!$A$2:$A$107,0))</f>
        <v>Gold</v>
      </c>
      <c r="G3" s="18" t="n">
        <f aca="false">INDEX('Pipeline A-B'!$P$2:$P$107,MATCH($B3,'Pipeline A-B'!$A$2:$A$107,0))</f>
        <v>1200</v>
      </c>
      <c r="H3" s="19" t="n">
        <f aca="false">INDEX('Pipeline A-B'!$Q$2:$Q$107,MATCH($B3,'Pipeline A-B'!$A$2:$A$107,0))</f>
        <v>1200</v>
      </c>
      <c r="I3" s="10" t="str">
        <f aca="false">INDEX('Pipeline A-B'!$K$2:$K$107,MATCH($B3,'Pipeline A-B'!$A$2:$A$107,0))</f>
        <v>Marketing lead, non-resident / emigrant segment</v>
      </c>
      <c r="J3" s="10" t="str">
        <f aca="false">INDEX('Pipeline A-B'!$L$2:$L$107,MATCH($B3,'Pipeline A-B'!$A$2:$A$107,0))</f>
        <v>Website: banquebcp.fr</v>
      </c>
      <c r="K3" s="10" t="str">
        <f aca="false">INDEX('Pipeline A-B'!$T$2:$T$107,MATCH($B3,'Pipeline A-B'!$A$2:$A$107,0))</f>
        <v>2026-10-26</v>
      </c>
      <c r="L3" s="10" t="str">
        <f aca="false">INDEX('Pipeline A-B'!$R$2:$R$107,MATCH($B3,'Pipeline A-B'!$A$2:$A$107,0))</f>
        <v>To contact</v>
      </c>
    </row>
    <row r="4" customFormat="false" ht="23.85" hidden="false" customHeight="false" outlineLevel="0" collapsed="false">
      <c r="A4" s="4" t="n">
        <v>3</v>
      </c>
      <c r="B4" s="4" t="s">
        <v>214</v>
      </c>
      <c r="C4" s="11" t="str">
        <f aca="false">INDEX('Pipeline A-B'!$B$2:$B$107,MATCH($B4,'Pipeline A-B'!$A$2:$A$107,0))</f>
        <v>Cabinet d'Architecture Marcelo Moledo</v>
      </c>
      <c r="D4" s="10" t="str">
        <f aca="false">INDEX('Pipeline A-B'!$D$2:$D$107,MATCH($B4,'Pipeline A-B'!$A$2:$A$107,0))</f>
        <v>FR</v>
      </c>
      <c r="E4" s="10" t="str">
        <f aca="false">INDEX('Pipeline A-B'!$E$2:$E$107,MATCH($B4,'Pipeline A-B'!$A$2:$A$107,0))</f>
        <v>A</v>
      </c>
      <c r="F4" s="10" t="str">
        <f aca="false">INDEX('Pipeline A-B'!$M$2:$M$107,MATCH($B4,'Pipeline A-B'!$A$2:$A$107,0))</f>
        <v>Silver</v>
      </c>
      <c r="G4" s="18" t="n">
        <f aca="false">INDEX('Pipeline A-B'!$P$2:$P$107,MATCH($B4,'Pipeline A-B'!$A$2:$A$107,0))</f>
        <v>540</v>
      </c>
      <c r="H4" s="19" t="n">
        <f aca="false">INDEX('Pipeline A-B'!$Q$2:$Q$107,MATCH($B4,'Pipeline A-B'!$A$2:$A$107,0))</f>
        <v>810</v>
      </c>
      <c r="I4" s="10" t="str">
        <f aca="false">INDEX('Pipeline A-B'!$K$2:$K$107,MATCH($B4,'Pipeline A-B'!$A$2:$A$107,0))</f>
        <v>Owner or marketing lead</v>
      </c>
      <c r="J4" s="10" t="str">
        <f aca="false">INDEX('Pipeline A-B'!$L$2:$L$107,MATCH($B4,'Pipeline A-B'!$A$2:$A$107,0))</f>
        <v>Phone or email from company website, then LinkedIn</v>
      </c>
      <c r="K4" s="10" t="str">
        <f aca="false">INDEX('Pipeline A-B'!$T$2:$T$107,MATCH($B4,'Pipeline A-B'!$A$2:$A$107,0))</f>
        <v>2026-10-26</v>
      </c>
      <c r="L4" s="10" t="str">
        <f aca="false">INDEX('Pipeline A-B'!$R$2:$R$107,MATCH($B4,'Pipeline A-B'!$A$2:$A$107,0))</f>
        <v>To contact</v>
      </c>
    </row>
    <row r="5" customFormat="false" ht="23.85" hidden="false" customHeight="false" outlineLevel="0" collapsed="false">
      <c r="A5" s="4" t="n">
        <v>4</v>
      </c>
      <c r="B5" s="4" t="s">
        <v>223</v>
      </c>
      <c r="C5" s="11" t="str">
        <f aca="false">INDEX('Pipeline A-B'!$B$2:$B$107,MATCH($B5,'Pipeline A-B'!$A$2:$A$107,0))</f>
        <v>Campara (law firm)</v>
      </c>
      <c r="D5" s="10" t="str">
        <f aca="false">INDEX('Pipeline A-B'!$D$2:$D$107,MATCH($B5,'Pipeline A-B'!$A$2:$A$107,0))</f>
        <v>BR</v>
      </c>
      <c r="E5" s="10" t="str">
        <f aca="false">INDEX('Pipeline A-B'!$E$2:$E$107,MATCH($B5,'Pipeline A-B'!$A$2:$A$107,0))</f>
        <v>A</v>
      </c>
      <c r="F5" s="10" t="str">
        <f aca="false">INDEX('Pipeline A-B'!$M$2:$M$107,MATCH($B5,'Pipeline A-B'!$A$2:$A$107,0))</f>
        <v>Silver</v>
      </c>
      <c r="G5" s="18" t="n">
        <f aca="false">INDEX('Pipeline A-B'!$P$2:$P$107,MATCH($B5,'Pipeline A-B'!$A$2:$A$107,0))</f>
        <v>540</v>
      </c>
      <c r="H5" s="19" t="n">
        <f aca="false">INDEX('Pipeline A-B'!$Q$2:$Q$107,MATCH($B5,'Pipeline A-B'!$A$2:$A$107,0))</f>
        <v>810</v>
      </c>
      <c r="I5" s="10" t="str">
        <f aca="false">INDEX('Pipeline A-B'!$K$2:$K$107,MATCH($B5,'Pipeline A-B'!$A$2:$A$107,0))</f>
        <v>Managing partner or business development</v>
      </c>
      <c r="J5" s="10" t="str">
        <f aca="false">INDEX('Pipeline A-B'!$L$2:$L$107,MATCH($B5,'Pipeline A-B'!$A$2:$A$107,0))</f>
        <v>Phone or email from company website, then LinkedIn</v>
      </c>
      <c r="K5" s="10" t="str">
        <f aca="false">INDEX('Pipeline A-B'!$T$2:$T$107,MATCH($B5,'Pipeline A-B'!$A$2:$A$107,0))</f>
        <v>2026-10-26</v>
      </c>
      <c r="L5" s="10" t="str">
        <f aca="false">INDEX('Pipeline A-B'!$R$2:$R$107,MATCH($B5,'Pipeline A-B'!$A$2:$A$107,0))</f>
        <v>To contact</v>
      </c>
    </row>
    <row r="6" customFormat="false" ht="23.85" hidden="false" customHeight="false" outlineLevel="0" collapsed="false">
      <c r="A6" s="4" t="n">
        <v>5</v>
      </c>
      <c r="B6" s="4" t="s">
        <v>229</v>
      </c>
      <c r="C6" s="11" t="str">
        <f aca="false">INDEX('Pipeline A-B'!$B$2:$B$107,MATCH($B6,'Pipeline A-B'!$A$2:$A$107,0))</f>
        <v>MC Avocats</v>
      </c>
      <c r="D6" s="10" t="str">
        <f aca="false">INDEX('Pipeline A-B'!$D$2:$D$107,MATCH($B6,'Pipeline A-B'!$A$2:$A$107,0))</f>
        <v>FR</v>
      </c>
      <c r="E6" s="10" t="str">
        <f aca="false">INDEX('Pipeline A-B'!$E$2:$E$107,MATCH($B6,'Pipeline A-B'!$A$2:$A$107,0))</f>
        <v>A</v>
      </c>
      <c r="F6" s="10" t="str">
        <f aca="false">INDEX('Pipeline A-B'!$M$2:$M$107,MATCH($B6,'Pipeline A-B'!$A$2:$A$107,0))</f>
        <v>Silver</v>
      </c>
      <c r="G6" s="18" t="n">
        <f aca="false">INDEX('Pipeline A-B'!$P$2:$P$107,MATCH($B6,'Pipeline A-B'!$A$2:$A$107,0))</f>
        <v>540</v>
      </c>
      <c r="H6" s="19" t="n">
        <f aca="false">INDEX('Pipeline A-B'!$Q$2:$Q$107,MATCH($B6,'Pipeline A-B'!$A$2:$A$107,0))</f>
        <v>810</v>
      </c>
      <c r="I6" s="10" t="str">
        <f aca="false">INDEX('Pipeline A-B'!$K$2:$K$107,MATCH($B6,'Pipeline A-B'!$A$2:$A$107,0))</f>
        <v>Managing partner or business development</v>
      </c>
      <c r="J6" s="10" t="str">
        <f aca="false">INDEX('Pipeline A-B'!$L$2:$L$107,MATCH($B6,'Pipeline A-B'!$A$2:$A$107,0))</f>
        <v>Phone or email from company website, then LinkedIn</v>
      </c>
      <c r="K6" s="10" t="str">
        <f aca="false">INDEX('Pipeline A-B'!$T$2:$T$107,MATCH($B6,'Pipeline A-B'!$A$2:$A$107,0))</f>
        <v>2026-10-26</v>
      </c>
      <c r="L6" s="10" t="str">
        <f aca="false">INDEX('Pipeline A-B'!$R$2:$R$107,MATCH($B6,'Pipeline A-B'!$A$2:$A$107,0))</f>
        <v>To contact</v>
      </c>
    </row>
    <row r="7" customFormat="false" ht="23.85" hidden="false" customHeight="false" outlineLevel="0" collapsed="false">
      <c r="A7" s="4" t="n">
        <v>6</v>
      </c>
      <c r="B7" s="4" t="s">
        <v>233</v>
      </c>
      <c r="C7" s="11" t="str">
        <f aca="false">INDEX('Pipeline A-B'!$B$2:$B$107,MATCH($B7,'Pipeline A-B'!$A$2:$A$107,0))</f>
        <v>Madeira Estate</v>
      </c>
      <c r="D7" s="10" t="str">
        <f aca="false">INDEX('Pipeline A-B'!$D$2:$D$107,MATCH($B7,'Pipeline A-B'!$A$2:$A$107,0))</f>
        <v>BR, FR</v>
      </c>
      <c r="E7" s="10" t="str">
        <f aca="false">INDEX('Pipeline A-B'!$E$2:$E$107,MATCH($B7,'Pipeline A-B'!$A$2:$A$107,0))</f>
        <v>A</v>
      </c>
      <c r="F7" s="10" t="str">
        <f aca="false">INDEX('Pipeline A-B'!$M$2:$M$107,MATCH($B7,'Pipeline A-B'!$A$2:$A$107,0))</f>
        <v>Silver</v>
      </c>
      <c r="G7" s="18" t="n">
        <f aca="false">INDEX('Pipeline A-B'!$P$2:$P$107,MATCH($B7,'Pipeline A-B'!$A$2:$A$107,0))</f>
        <v>540</v>
      </c>
      <c r="H7" s="19" t="n">
        <f aca="false">INDEX('Pipeline A-B'!$Q$2:$Q$107,MATCH($B7,'Pipeline A-B'!$A$2:$A$107,0))</f>
        <v>810</v>
      </c>
      <c r="I7" s="10" t="str">
        <f aca="false">INDEX('Pipeline A-B'!$K$2:$K$107,MATCH($B7,'Pipeline A-B'!$A$2:$A$107,0))</f>
        <v>Managing partner or business development</v>
      </c>
      <c r="J7" s="10" t="str">
        <f aca="false">INDEX('Pipeline A-B'!$L$2:$L$107,MATCH($B7,'Pipeline A-B'!$A$2:$A$107,0))</f>
        <v>Phone or email from company website, then LinkedIn</v>
      </c>
      <c r="K7" s="10" t="str">
        <f aca="false">INDEX('Pipeline A-B'!$T$2:$T$107,MATCH($B7,'Pipeline A-B'!$A$2:$A$107,0))</f>
        <v>2026-10-26</v>
      </c>
      <c r="L7" s="10" t="str">
        <f aca="false">INDEX('Pipeline A-B'!$R$2:$R$107,MATCH($B7,'Pipeline A-B'!$A$2:$A$107,0))</f>
        <v>To contact</v>
      </c>
    </row>
    <row r="8" customFormat="false" ht="23.85" hidden="false" customHeight="false" outlineLevel="0" collapsed="false">
      <c r="A8" s="4" t="n">
        <v>7</v>
      </c>
      <c r="B8" s="4" t="s">
        <v>239</v>
      </c>
      <c r="C8" s="11" t="str">
        <f aca="false">INDEX('Pipeline A-B'!$B$2:$B$107,MATCH($B8,'Pipeline A-B'!$A$2:$A$107,0))</f>
        <v>Pedro Emanuel de Oliveira (law office)</v>
      </c>
      <c r="D8" s="10" t="str">
        <f aca="false">INDEX('Pipeline A-B'!$D$2:$D$107,MATCH($B8,'Pipeline A-B'!$A$2:$A$107,0))</f>
        <v>FR</v>
      </c>
      <c r="E8" s="10" t="str">
        <f aca="false">INDEX('Pipeline A-B'!$E$2:$E$107,MATCH($B8,'Pipeline A-B'!$A$2:$A$107,0))</f>
        <v>A</v>
      </c>
      <c r="F8" s="10" t="str">
        <f aca="false">INDEX('Pipeline A-B'!$M$2:$M$107,MATCH($B8,'Pipeline A-B'!$A$2:$A$107,0))</f>
        <v>Silver</v>
      </c>
      <c r="G8" s="18" t="n">
        <f aca="false">INDEX('Pipeline A-B'!$P$2:$P$107,MATCH($B8,'Pipeline A-B'!$A$2:$A$107,0))</f>
        <v>540</v>
      </c>
      <c r="H8" s="19" t="n">
        <f aca="false">INDEX('Pipeline A-B'!$Q$2:$Q$107,MATCH($B8,'Pipeline A-B'!$A$2:$A$107,0))</f>
        <v>810</v>
      </c>
      <c r="I8" s="10" t="str">
        <f aca="false">INDEX('Pipeline A-B'!$K$2:$K$107,MATCH($B8,'Pipeline A-B'!$A$2:$A$107,0))</f>
        <v>Managing partner or business development</v>
      </c>
      <c r="J8" s="10" t="str">
        <f aca="false">INDEX('Pipeline A-B'!$L$2:$L$107,MATCH($B8,'Pipeline A-B'!$A$2:$A$107,0))</f>
        <v>Phone or email from company website, then LinkedIn</v>
      </c>
      <c r="K8" s="10" t="str">
        <f aca="false">INDEX('Pipeline A-B'!$T$2:$T$107,MATCH($B8,'Pipeline A-B'!$A$2:$A$107,0))</f>
        <v>2026-10-26</v>
      </c>
      <c r="L8" s="10" t="str">
        <f aca="false">INDEX('Pipeline A-B'!$R$2:$R$107,MATCH($B8,'Pipeline A-B'!$A$2:$A$107,0))</f>
        <v>To contact</v>
      </c>
    </row>
    <row r="9" customFormat="false" ht="23.85" hidden="false" customHeight="false" outlineLevel="0" collapsed="false">
      <c r="A9" s="4" t="n">
        <v>8</v>
      </c>
      <c r="B9" s="4" t="s">
        <v>243</v>
      </c>
      <c r="C9" s="11" t="str">
        <f aca="false">INDEX('Pipeline A-B'!$B$2:$B$107,MATCH($B9,'Pipeline A-B'!$A$2:$A$107,0))</f>
        <v>Santander Totta</v>
      </c>
      <c r="D9" s="10" t="str">
        <f aca="false">INDEX('Pipeline A-B'!$D$2:$D$107,MATCH($B9,'Pipeline A-B'!$A$2:$A$107,0))</f>
        <v>FR, LU, CH</v>
      </c>
      <c r="E9" s="10" t="str">
        <f aca="false">INDEX('Pipeline A-B'!$E$2:$E$107,MATCH($B9,'Pipeline A-B'!$A$2:$A$107,0))</f>
        <v>A</v>
      </c>
      <c r="F9" s="10" t="str">
        <f aca="false">INDEX('Pipeline A-B'!$M$2:$M$107,MATCH($B9,'Pipeline A-B'!$A$2:$A$107,0))</f>
        <v>Gold</v>
      </c>
      <c r="G9" s="18" t="n">
        <f aca="false">INDEX('Pipeline A-B'!$P$2:$P$107,MATCH($B9,'Pipeline A-B'!$A$2:$A$107,0))</f>
        <v>1200</v>
      </c>
      <c r="H9" s="19" t="n">
        <f aca="false">INDEX('Pipeline A-B'!$Q$2:$Q$107,MATCH($B9,'Pipeline A-B'!$A$2:$A$107,0))</f>
        <v>720</v>
      </c>
      <c r="I9" s="10" t="str">
        <f aca="false">INDEX('Pipeline A-B'!$K$2:$K$107,MATCH($B9,'Pipeline A-B'!$A$2:$A$107,0))</f>
        <v>Marketing lead, non-resident / emigrant segment</v>
      </c>
      <c r="J9" s="10" t="str">
        <f aca="false">INDEX('Pipeline A-B'!$L$2:$L$107,MATCH($B9,'Pipeline A-B'!$A$2:$A$107,0))</f>
        <v>Website: santander.pt</v>
      </c>
      <c r="K9" s="10" t="str">
        <f aca="false">INDEX('Pipeline A-B'!$T$2:$T$107,MATCH($B9,'Pipeline A-B'!$A$2:$A$107,0))</f>
        <v>2026-10-26</v>
      </c>
      <c r="L9" s="10" t="str">
        <f aca="false">INDEX('Pipeline A-B'!$R$2:$R$107,MATCH($B9,'Pipeline A-B'!$A$2:$A$107,0))</f>
        <v>To contact</v>
      </c>
    </row>
    <row r="10" customFormat="false" ht="15" hidden="false" customHeight="false" outlineLevel="0" collapsed="false">
      <c r="A10" s="4" t="n">
        <v>9</v>
      </c>
      <c r="B10" s="4" t="s">
        <v>249</v>
      </c>
      <c r="C10" s="11" t="str">
        <f aca="false">INDEX('Pipeline A-B'!$B$2:$B$107,MATCH($B10,'Pipeline A-B'!$A$2:$A$107,0))</f>
        <v>Ebury</v>
      </c>
      <c r="D10" s="10" t="str">
        <f aca="false">INDEX('Pipeline A-B'!$D$2:$D$107,MATCH($B10,'Pipeline A-B'!$A$2:$A$107,0))</f>
        <v>BR</v>
      </c>
      <c r="E10" s="10" t="str">
        <f aca="false">INDEX('Pipeline A-B'!$E$2:$E$107,MATCH($B10,'Pipeline A-B'!$A$2:$A$107,0))</f>
        <v>B</v>
      </c>
      <c r="F10" s="10" t="str">
        <f aca="false">INDEX('Pipeline A-B'!$M$2:$M$107,MATCH($B10,'Pipeline A-B'!$A$2:$A$107,0))</f>
        <v>Gold</v>
      </c>
      <c r="G10" s="18" t="n">
        <f aca="false">INDEX('Pipeline A-B'!$P$2:$P$107,MATCH($B10,'Pipeline A-B'!$A$2:$A$107,0))</f>
        <v>576</v>
      </c>
      <c r="H10" s="19" t="n">
        <f aca="false">INDEX('Pipeline A-B'!$Q$2:$Q$107,MATCH($B10,'Pipeline A-B'!$A$2:$A$107,0))</f>
        <v>576</v>
      </c>
      <c r="I10" s="10" t="str">
        <f aca="false">INDEX('Pipeline A-B'!$K$2:$K$107,MATCH($B10,'Pipeline A-B'!$A$2:$A$107,0))</f>
        <v>Partnerships / affiliates manager</v>
      </c>
      <c r="J10" s="10" t="str">
        <f aca="false">INDEX('Pipeline A-B'!$L$2:$L$107,MATCH($B10,'Pipeline A-B'!$A$2:$A$107,0))</f>
        <v>Website: ebury.com</v>
      </c>
      <c r="K10" s="10" t="str">
        <f aca="false">INDEX('Pipeline A-B'!$T$2:$T$107,MATCH($B10,'Pipeline A-B'!$A$2:$A$107,0))</f>
        <v>2026-10-27</v>
      </c>
      <c r="L10" s="10" t="str">
        <f aca="false">INDEX('Pipeline A-B'!$R$2:$R$107,MATCH($B10,'Pipeline A-B'!$A$2:$A$107,0))</f>
        <v>To contact</v>
      </c>
    </row>
    <row r="11" customFormat="false" ht="23.85" hidden="false" customHeight="false" outlineLevel="0" collapsed="false">
      <c r="A11" s="4" t="n">
        <v>10</v>
      </c>
      <c r="B11" s="4" t="s">
        <v>259</v>
      </c>
      <c r="C11" s="11" t="str">
        <f aca="false">INDEX('Pipeline A-B'!$B$2:$B$107,MATCH($B11,'Pipeline A-B'!$A$2:$A$107,0))</f>
        <v>Rio Credits</v>
      </c>
      <c r="D11" s="10" t="str">
        <f aca="false">INDEX('Pipeline A-B'!$D$2:$D$107,MATCH($B11,'Pipeline A-B'!$A$2:$A$107,0))</f>
        <v>FR</v>
      </c>
      <c r="E11" s="10" t="str">
        <f aca="false">INDEX('Pipeline A-B'!$E$2:$E$107,MATCH($B11,'Pipeline A-B'!$A$2:$A$107,0))</f>
        <v>A</v>
      </c>
      <c r="F11" s="10" t="str">
        <f aca="false">INDEX('Pipeline A-B'!$M$2:$M$107,MATCH($B11,'Pipeline A-B'!$A$2:$A$107,0))</f>
        <v>Silver</v>
      </c>
      <c r="G11" s="18" t="n">
        <f aca="false">INDEX('Pipeline A-B'!$P$2:$P$107,MATCH($B11,'Pipeline A-B'!$A$2:$A$107,0))</f>
        <v>360</v>
      </c>
      <c r="H11" s="19" t="n">
        <f aca="false">INDEX('Pipeline A-B'!$Q$2:$Q$107,MATCH($B11,'Pipeline A-B'!$A$2:$A$107,0))</f>
        <v>540</v>
      </c>
      <c r="I11" s="10" t="str">
        <f aca="false">INDEX('Pipeline A-B'!$K$2:$K$107,MATCH($B11,'Pipeline A-B'!$A$2:$A$107,0))</f>
        <v>Partnerships or marketing lead</v>
      </c>
      <c r="J11" s="10" t="str">
        <f aca="false">INDEX('Pipeline A-B'!$L$2:$L$107,MATCH($B11,'Pipeline A-B'!$A$2:$A$107,0))</f>
        <v>Phone or email from company website, then LinkedIn</v>
      </c>
      <c r="K11" s="10" t="str">
        <f aca="false">INDEX('Pipeline A-B'!$T$2:$T$107,MATCH($B11,'Pipeline A-B'!$A$2:$A$107,0))</f>
        <v>2026-10-27</v>
      </c>
      <c r="L11" s="10" t="str">
        <f aca="false">INDEX('Pipeline A-B'!$R$2:$R$107,MATCH($B11,'Pipeline A-B'!$A$2:$A$107,0))</f>
        <v>To contact</v>
      </c>
    </row>
    <row r="12" customFormat="false" ht="23.85" hidden="false" customHeight="false" outlineLevel="0" collapsed="false">
      <c r="A12" s="4" t="n">
        <v>11</v>
      </c>
      <c r="B12" s="4" t="s">
        <v>265</v>
      </c>
      <c r="C12" s="11" t="str">
        <f aca="false">INDEX('Pipeline A-B'!$B$2:$B$107,MATCH($B12,'Pipeline A-B'!$A$2:$A$107,0))</f>
        <v>Vallespir Advogados</v>
      </c>
      <c r="D12" s="10" t="str">
        <f aca="false">INDEX('Pipeline A-B'!$D$2:$D$107,MATCH($B12,'Pipeline A-B'!$A$2:$A$107,0))</f>
        <v>FR</v>
      </c>
      <c r="E12" s="10" t="str">
        <f aca="false">INDEX('Pipeline A-B'!$E$2:$E$107,MATCH($B12,'Pipeline A-B'!$A$2:$A$107,0))</f>
        <v>A</v>
      </c>
      <c r="F12" s="10" t="str">
        <f aca="false">INDEX('Pipeline A-B'!$M$2:$M$107,MATCH($B12,'Pipeline A-B'!$A$2:$A$107,0))</f>
        <v>Silver</v>
      </c>
      <c r="G12" s="18" t="n">
        <f aca="false">INDEX('Pipeline A-B'!$P$2:$P$107,MATCH($B12,'Pipeline A-B'!$A$2:$A$107,0))</f>
        <v>360</v>
      </c>
      <c r="H12" s="19" t="n">
        <f aca="false">INDEX('Pipeline A-B'!$Q$2:$Q$107,MATCH($B12,'Pipeline A-B'!$A$2:$A$107,0))</f>
        <v>540</v>
      </c>
      <c r="I12" s="10" t="str">
        <f aca="false">INDEX('Pipeline A-B'!$K$2:$K$107,MATCH($B12,'Pipeline A-B'!$A$2:$A$107,0))</f>
        <v>Managing partner or business development</v>
      </c>
      <c r="J12" s="10" t="str">
        <f aca="false">INDEX('Pipeline A-B'!$L$2:$L$107,MATCH($B12,'Pipeline A-B'!$A$2:$A$107,0))</f>
        <v>Phone or email from company website, then LinkedIn</v>
      </c>
      <c r="K12" s="10" t="str">
        <f aca="false">INDEX('Pipeline A-B'!$T$2:$T$107,MATCH($B12,'Pipeline A-B'!$A$2:$A$107,0))</f>
        <v>2026-10-27</v>
      </c>
      <c r="L12" s="10" t="str">
        <f aca="false">INDEX('Pipeline A-B'!$R$2:$R$107,MATCH($B12,'Pipeline A-B'!$A$2:$A$107,0))</f>
        <v>To contact</v>
      </c>
    </row>
    <row r="13" customFormat="false" ht="23.85" hidden="false" customHeight="false" outlineLevel="0" collapsed="false">
      <c r="A13" s="4" t="n">
        <v>12</v>
      </c>
      <c r="B13" s="4" t="s">
        <v>269</v>
      </c>
      <c r="C13" s="11" t="str">
        <f aca="false">INDEX('Pipeline A-B'!$B$2:$B$107,MATCH($B13,'Pipeline A-B'!$A$2:$A$107,0))</f>
        <v>AnchorLess</v>
      </c>
      <c r="D13" s="10" t="str">
        <f aca="false">INDEX('Pipeline A-B'!$D$2:$D$107,MATCH($B13,'Pipeline A-B'!$A$2:$A$107,0))</f>
        <v>FR, BR</v>
      </c>
      <c r="E13" s="10" t="str">
        <f aca="false">INDEX('Pipeline A-B'!$E$2:$E$107,MATCH($B13,'Pipeline A-B'!$A$2:$A$107,0))</f>
        <v>B</v>
      </c>
      <c r="F13" s="10" t="str">
        <f aca="false">INDEX('Pipeline A-B'!$M$2:$M$107,MATCH($B13,'Pipeline A-B'!$A$2:$A$107,0))</f>
        <v>Silver</v>
      </c>
      <c r="G13" s="18" t="n">
        <f aca="false">INDEX('Pipeline A-B'!$P$2:$P$107,MATCH($B13,'Pipeline A-B'!$A$2:$A$107,0))</f>
        <v>306</v>
      </c>
      <c r="H13" s="19" t="n">
        <f aca="false">INDEX('Pipeline A-B'!$Q$2:$Q$107,MATCH($B13,'Pipeline A-B'!$A$2:$A$107,0))</f>
        <v>459</v>
      </c>
      <c r="I13" s="10" t="str">
        <f aca="false">INDEX('Pipeline A-B'!$K$2:$K$107,MATCH($B13,'Pipeline A-B'!$A$2:$A$107,0))</f>
        <v>Managing partner or business development</v>
      </c>
      <c r="J13" s="10" t="str">
        <f aca="false">INDEX('Pipeline A-B'!$L$2:$L$107,MATCH($B13,'Pipeline A-B'!$A$2:$A$107,0))</f>
        <v>Phone or email from company website, then LinkedIn</v>
      </c>
      <c r="K13" s="10" t="str">
        <f aca="false">INDEX('Pipeline A-B'!$T$2:$T$107,MATCH($B13,'Pipeline A-B'!$A$2:$A$107,0))</f>
        <v>2026-10-27</v>
      </c>
      <c r="L13" s="10" t="str">
        <f aca="false">INDEX('Pipeline A-B'!$R$2:$R$107,MATCH($B13,'Pipeline A-B'!$A$2:$A$107,0))</f>
        <v>To contact</v>
      </c>
    </row>
    <row r="14" customFormat="false" ht="23.85" hidden="false" customHeight="false" outlineLevel="0" collapsed="false">
      <c r="A14" s="4" t="n">
        <v>13</v>
      </c>
      <c r="B14" s="4" t="s">
        <v>275</v>
      </c>
      <c r="C14" s="11" t="str">
        <f aca="false">INDEX('Pipeline A-B'!$B$2:$B$107,MATCH($B14,'Pipeline A-B'!$A$2:$A$107,0))</f>
        <v>Bleap</v>
      </c>
      <c r="D14" s="10" t="str">
        <f aca="false">INDEX('Pipeline A-B'!$D$2:$D$107,MATCH($B14,'Pipeline A-B'!$A$2:$A$107,0))</f>
        <v>BR</v>
      </c>
      <c r="E14" s="10" t="str">
        <f aca="false">INDEX('Pipeline A-B'!$E$2:$E$107,MATCH($B14,'Pipeline A-B'!$A$2:$A$107,0))</f>
        <v>B</v>
      </c>
      <c r="F14" s="10" t="str">
        <f aca="false">INDEX('Pipeline A-B'!$M$2:$M$107,MATCH($B14,'Pipeline A-B'!$A$2:$A$107,0))</f>
        <v>Silver</v>
      </c>
      <c r="G14" s="18" t="n">
        <f aca="false">INDEX('Pipeline A-B'!$P$2:$P$107,MATCH($B14,'Pipeline A-B'!$A$2:$A$107,0))</f>
        <v>306</v>
      </c>
      <c r="H14" s="19" t="n">
        <f aca="false">INDEX('Pipeline A-B'!$Q$2:$Q$107,MATCH($B14,'Pipeline A-B'!$A$2:$A$107,0))</f>
        <v>459</v>
      </c>
      <c r="I14" s="10" t="str">
        <f aca="false">INDEX('Pipeline A-B'!$K$2:$K$107,MATCH($B14,'Pipeline A-B'!$A$2:$A$107,0))</f>
        <v>Partnerships / affiliates manager</v>
      </c>
      <c r="J14" s="10" t="str">
        <f aca="false">INDEX('Pipeline A-B'!$L$2:$L$107,MATCH($B14,'Pipeline A-B'!$A$2:$A$107,0))</f>
        <v>Phone or email from company website, then LinkedIn</v>
      </c>
      <c r="K14" s="10" t="str">
        <f aca="false">INDEX('Pipeline A-B'!$T$2:$T$107,MATCH($B14,'Pipeline A-B'!$A$2:$A$107,0))</f>
        <v>2026-10-27</v>
      </c>
      <c r="L14" s="10" t="str">
        <f aca="false">INDEX('Pipeline A-B'!$R$2:$R$107,MATCH($B14,'Pipeline A-B'!$A$2:$A$107,0))</f>
        <v>To contact</v>
      </c>
    </row>
    <row r="15" customFormat="false" ht="23.85" hidden="false" customHeight="false" outlineLevel="0" collapsed="false">
      <c r="A15" s="4" t="n">
        <v>14</v>
      </c>
      <c r="B15" s="4" t="s">
        <v>280</v>
      </c>
      <c r="C15" s="11" t="str">
        <f aca="false">INDEX('Pipeline A-B'!$B$2:$B$107,MATCH($B15,'Pipeline A-B'!$A$2:$A$107,0))</f>
        <v>CRN Contabilidade</v>
      </c>
      <c r="D15" s="10" t="str">
        <f aca="false">INDEX('Pipeline A-B'!$D$2:$D$107,MATCH($B15,'Pipeline A-B'!$A$2:$A$107,0))</f>
        <v>LU, FR, CH, BR</v>
      </c>
      <c r="E15" s="10" t="str">
        <f aca="false">INDEX('Pipeline A-B'!$E$2:$E$107,MATCH($B15,'Pipeline A-B'!$A$2:$A$107,0))</f>
        <v>B</v>
      </c>
      <c r="F15" s="10" t="str">
        <f aca="false">INDEX('Pipeline A-B'!$M$2:$M$107,MATCH($B15,'Pipeline A-B'!$A$2:$A$107,0))</f>
        <v>Silver</v>
      </c>
      <c r="G15" s="18" t="n">
        <f aca="false">INDEX('Pipeline A-B'!$P$2:$P$107,MATCH($B15,'Pipeline A-B'!$A$2:$A$107,0))</f>
        <v>306</v>
      </c>
      <c r="H15" s="19" t="n">
        <f aca="false">INDEX('Pipeline A-B'!$Q$2:$Q$107,MATCH($B15,'Pipeline A-B'!$A$2:$A$107,0))</f>
        <v>459</v>
      </c>
      <c r="I15" s="10" t="str">
        <f aca="false">INDEX('Pipeline A-B'!$K$2:$K$107,MATCH($B15,'Pipeline A-B'!$A$2:$A$107,0))</f>
        <v>Owner or marketing lead</v>
      </c>
      <c r="J15" s="10" t="str">
        <f aca="false">INDEX('Pipeline A-B'!$L$2:$L$107,MATCH($B15,'Pipeline A-B'!$A$2:$A$107,0))</f>
        <v>Phone or email from company website, then LinkedIn</v>
      </c>
      <c r="K15" s="10" t="str">
        <f aca="false">INDEX('Pipeline A-B'!$T$2:$T$107,MATCH($B15,'Pipeline A-B'!$A$2:$A$107,0))</f>
        <v>2026-10-27</v>
      </c>
      <c r="L15" s="10" t="str">
        <f aca="false">INDEX('Pipeline A-B'!$R$2:$R$107,MATCH($B15,'Pipeline A-B'!$A$2:$A$107,0))</f>
        <v>To contact</v>
      </c>
    </row>
    <row r="16" customFormat="false" ht="23.85" hidden="false" customHeight="false" outlineLevel="0" collapsed="false">
      <c r="A16" s="4" t="n">
        <v>15</v>
      </c>
      <c r="B16" s="4" t="s">
        <v>286</v>
      </c>
      <c r="C16" s="11" t="str">
        <f aca="false">INDEX('Pipeline A-B'!$B$2:$B$107,MATCH($B16,'Pipeline A-B'!$A$2:$A$107,0))</f>
        <v>CV Assessoria Internacional</v>
      </c>
      <c r="D16" s="10" t="str">
        <f aca="false">INDEX('Pipeline A-B'!$D$2:$D$107,MATCH($B16,'Pipeline A-B'!$A$2:$A$107,0))</f>
        <v>BR</v>
      </c>
      <c r="E16" s="10" t="str">
        <f aca="false">INDEX('Pipeline A-B'!$E$2:$E$107,MATCH($B16,'Pipeline A-B'!$A$2:$A$107,0))</f>
        <v>B</v>
      </c>
      <c r="F16" s="10" t="str">
        <f aca="false">INDEX('Pipeline A-B'!$M$2:$M$107,MATCH($B16,'Pipeline A-B'!$A$2:$A$107,0))</f>
        <v>Silver</v>
      </c>
      <c r="G16" s="18" t="n">
        <f aca="false">INDEX('Pipeline A-B'!$P$2:$P$107,MATCH($B16,'Pipeline A-B'!$A$2:$A$107,0))</f>
        <v>306</v>
      </c>
      <c r="H16" s="19" t="n">
        <f aca="false">INDEX('Pipeline A-B'!$Q$2:$Q$107,MATCH($B16,'Pipeline A-B'!$A$2:$A$107,0))</f>
        <v>459</v>
      </c>
      <c r="I16" s="10" t="str">
        <f aca="false">INDEX('Pipeline A-B'!$K$2:$K$107,MATCH($B16,'Pipeline A-B'!$A$2:$A$107,0))</f>
        <v>Managing partner or business development</v>
      </c>
      <c r="J16" s="10" t="str">
        <f aca="false">INDEX('Pipeline A-B'!$L$2:$L$107,MATCH($B16,'Pipeline A-B'!$A$2:$A$107,0))</f>
        <v>Phone or email from company website, then LinkedIn</v>
      </c>
      <c r="K16" s="10" t="str">
        <f aca="false">INDEX('Pipeline A-B'!$T$2:$T$107,MATCH($B16,'Pipeline A-B'!$A$2:$A$107,0))</f>
        <v>2026-10-27</v>
      </c>
      <c r="L16" s="10" t="str">
        <f aca="false">INDEX('Pipeline A-B'!$R$2:$R$107,MATCH($B16,'Pipeline A-B'!$A$2:$A$107,0))</f>
        <v>To contact</v>
      </c>
    </row>
    <row r="17" customFormat="false" ht="23.85" hidden="false" customHeight="false" outlineLevel="0" collapsed="false">
      <c r="A17" s="4" t="n">
        <v>16</v>
      </c>
      <c r="B17" s="4" t="s">
        <v>291</v>
      </c>
      <c r="C17" s="11" t="str">
        <f aca="false">INDEX('Pipeline A-B'!$B$2:$B$107,MATCH($B17,'Pipeline A-B'!$A$2:$A$107,0))</f>
        <v>Cafimo</v>
      </c>
      <c r="D17" s="10" t="str">
        <f aca="false">INDEX('Pipeline A-B'!$D$2:$D$107,MATCH($B17,'Pipeline A-B'!$A$2:$A$107,0))</f>
        <v>FR</v>
      </c>
      <c r="E17" s="10" t="str">
        <f aca="false">INDEX('Pipeline A-B'!$E$2:$E$107,MATCH($B17,'Pipeline A-B'!$A$2:$A$107,0))</f>
        <v>B</v>
      </c>
      <c r="F17" s="10" t="str">
        <f aca="false">INDEX('Pipeline A-B'!$M$2:$M$107,MATCH($B17,'Pipeline A-B'!$A$2:$A$107,0))</f>
        <v>Silver</v>
      </c>
      <c r="G17" s="18" t="n">
        <f aca="false">INDEX('Pipeline A-B'!$P$2:$P$107,MATCH($B17,'Pipeline A-B'!$A$2:$A$107,0))</f>
        <v>306</v>
      </c>
      <c r="H17" s="19" t="n">
        <f aca="false">INDEX('Pipeline A-B'!$Q$2:$Q$107,MATCH($B17,'Pipeline A-B'!$A$2:$A$107,0))</f>
        <v>459</v>
      </c>
      <c r="I17" s="10" t="str">
        <f aca="false">INDEX('Pipeline A-B'!$K$2:$K$107,MATCH($B17,'Pipeline A-B'!$A$2:$A$107,0))</f>
        <v>Partnerships or marketing lead</v>
      </c>
      <c r="J17" s="10" t="str">
        <f aca="false">INDEX('Pipeline A-B'!$L$2:$L$107,MATCH($B17,'Pipeline A-B'!$A$2:$A$107,0))</f>
        <v>Phone or email from company website, then LinkedIn</v>
      </c>
      <c r="K17" s="10" t="str">
        <f aca="false">INDEX('Pipeline A-B'!$T$2:$T$107,MATCH($B17,'Pipeline A-B'!$A$2:$A$107,0))</f>
        <v>2026-10-27</v>
      </c>
      <c r="L17" s="10" t="str">
        <f aca="false">INDEX('Pipeline A-B'!$R$2:$R$107,MATCH($B17,'Pipeline A-B'!$A$2:$A$107,0))</f>
        <v>To contact</v>
      </c>
    </row>
    <row r="18" customFormat="false" ht="23.85" hidden="false" customHeight="false" outlineLevel="0" collapsed="false">
      <c r="A18" s="4" t="n">
        <v>17</v>
      </c>
      <c r="B18" s="4" t="s">
        <v>295</v>
      </c>
      <c r="C18" s="11" t="str">
        <f aca="false">INDEX('Pipeline A-B'!$B$2:$B$107,MATCH($B18,'Pipeline A-B'!$A$2:$A$107,0))</f>
        <v>Cidadania e Visto</v>
      </c>
      <c r="D18" s="10" t="str">
        <f aca="false">INDEX('Pipeline A-B'!$D$2:$D$107,MATCH($B18,'Pipeline A-B'!$A$2:$A$107,0))</f>
        <v>BR</v>
      </c>
      <c r="E18" s="10" t="str">
        <f aca="false">INDEX('Pipeline A-B'!$E$2:$E$107,MATCH($B18,'Pipeline A-B'!$A$2:$A$107,0))</f>
        <v>B</v>
      </c>
      <c r="F18" s="10" t="str">
        <f aca="false">INDEX('Pipeline A-B'!$M$2:$M$107,MATCH($B18,'Pipeline A-B'!$A$2:$A$107,0))</f>
        <v>Silver</v>
      </c>
      <c r="G18" s="18" t="n">
        <f aca="false">INDEX('Pipeline A-B'!$P$2:$P$107,MATCH($B18,'Pipeline A-B'!$A$2:$A$107,0))</f>
        <v>306</v>
      </c>
      <c r="H18" s="19" t="n">
        <f aca="false">INDEX('Pipeline A-B'!$Q$2:$Q$107,MATCH($B18,'Pipeline A-B'!$A$2:$A$107,0))</f>
        <v>459</v>
      </c>
      <c r="I18" s="10" t="str">
        <f aca="false">INDEX('Pipeline A-B'!$K$2:$K$107,MATCH($B18,'Pipeline A-B'!$A$2:$A$107,0))</f>
        <v>Managing partner or business development</v>
      </c>
      <c r="J18" s="10" t="str">
        <f aca="false">INDEX('Pipeline A-B'!$L$2:$L$107,MATCH($B18,'Pipeline A-B'!$A$2:$A$107,0))</f>
        <v>Phone or email from company website, then LinkedIn</v>
      </c>
      <c r="K18" s="10" t="str">
        <f aca="false">INDEX('Pipeline A-B'!$T$2:$T$107,MATCH($B18,'Pipeline A-B'!$A$2:$A$107,0))</f>
        <v>2026-10-28</v>
      </c>
      <c r="L18" s="10" t="str">
        <f aca="false">INDEX('Pipeline A-B'!$R$2:$R$107,MATCH($B18,'Pipeline A-B'!$A$2:$A$107,0))</f>
        <v>To contact</v>
      </c>
    </row>
    <row r="19" customFormat="false" ht="23.85" hidden="false" customHeight="false" outlineLevel="0" collapsed="false">
      <c r="A19" s="4" t="n">
        <v>18</v>
      </c>
      <c r="B19" s="4" t="s">
        <v>301</v>
      </c>
      <c r="C19" s="11" t="str">
        <f aca="false">INDEX('Pipeline A-B'!$B$2:$B$107,MATCH($B19,'Pipeline A-B'!$A$2:$A$107,0))</f>
        <v>Euodia</v>
      </c>
      <c r="D19" s="10" t="str">
        <f aca="false">INDEX('Pipeline A-B'!$D$2:$D$107,MATCH($B19,'Pipeline A-B'!$A$2:$A$107,0))</f>
        <v>FR</v>
      </c>
      <c r="E19" s="10" t="str">
        <f aca="false">INDEX('Pipeline A-B'!$E$2:$E$107,MATCH($B19,'Pipeline A-B'!$A$2:$A$107,0))</f>
        <v>B</v>
      </c>
      <c r="F19" s="10" t="str">
        <f aca="false">INDEX('Pipeline A-B'!$M$2:$M$107,MATCH($B19,'Pipeline A-B'!$A$2:$A$107,0))</f>
        <v>Silver</v>
      </c>
      <c r="G19" s="18" t="n">
        <f aca="false">INDEX('Pipeline A-B'!$P$2:$P$107,MATCH($B19,'Pipeline A-B'!$A$2:$A$107,0))</f>
        <v>306</v>
      </c>
      <c r="H19" s="19" t="n">
        <f aca="false">INDEX('Pipeline A-B'!$Q$2:$Q$107,MATCH($B19,'Pipeline A-B'!$A$2:$A$107,0))</f>
        <v>459</v>
      </c>
      <c r="I19" s="10" t="str">
        <f aca="false">INDEX('Pipeline A-B'!$K$2:$K$107,MATCH($B19,'Pipeline A-B'!$A$2:$A$107,0))</f>
        <v>Managing partner or business development</v>
      </c>
      <c r="J19" s="10" t="str">
        <f aca="false">INDEX('Pipeline A-B'!$L$2:$L$107,MATCH($B19,'Pipeline A-B'!$A$2:$A$107,0))</f>
        <v>Website: euodia.fr</v>
      </c>
      <c r="K19" s="10" t="str">
        <f aca="false">INDEX('Pipeline A-B'!$T$2:$T$107,MATCH($B19,'Pipeline A-B'!$A$2:$A$107,0))</f>
        <v>2026-10-28</v>
      </c>
      <c r="L19" s="10" t="str">
        <f aca="false">INDEX('Pipeline A-B'!$R$2:$R$107,MATCH($B19,'Pipeline A-B'!$A$2:$A$107,0))</f>
        <v>To contact</v>
      </c>
    </row>
    <row r="20" customFormat="false" ht="23.85" hidden="false" customHeight="false" outlineLevel="0" collapsed="false">
      <c r="A20" s="4" t="n">
        <v>19</v>
      </c>
      <c r="B20" s="4" t="s">
        <v>307</v>
      </c>
      <c r="C20" s="11" t="str">
        <f aca="false">INDEX('Pipeline A-B'!$B$2:$B$107,MATCH($B20,'Pipeline A-B'!$A$2:$A$107,0))</f>
        <v>Groupe Sopinor</v>
      </c>
      <c r="D20" s="10" t="str">
        <f aca="false">INDEX('Pipeline A-B'!$D$2:$D$107,MATCH($B20,'Pipeline A-B'!$A$2:$A$107,0))</f>
        <v>LU</v>
      </c>
      <c r="E20" s="10" t="str">
        <f aca="false">INDEX('Pipeline A-B'!$E$2:$E$107,MATCH($B20,'Pipeline A-B'!$A$2:$A$107,0))</f>
        <v>B</v>
      </c>
      <c r="F20" s="10" t="str">
        <f aca="false">INDEX('Pipeline A-B'!$M$2:$M$107,MATCH($B20,'Pipeline A-B'!$A$2:$A$107,0))</f>
        <v>Silver</v>
      </c>
      <c r="G20" s="18" t="n">
        <f aca="false">INDEX('Pipeline A-B'!$P$2:$P$107,MATCH($B20,'Pipeline A-B'!$A$2:$A$107,0))</f>
        <v>306</v>
      </c>
      <c r="H20" s="19" t="n">
        <f aca="false">INDEX('Pipeline A-B'!$Q$2:$Q$107,MATCH($B20,'Pipeline A-B'!$A$2:$A$107,0))</f>
        <v>459</v>
      </c>
      <c r="I20" s="10" t="str">
        <f aca="false">INDEX('Pipeline A-B'!$K$2:$K$107,MATCH($B20,'Pipeline A-B'!$A$2:$A$107,0))</f>
        <v>Owner or marketing lead</v>
      </c>
      <c r="J20" s="10" t="str">
        <f aca="false">INDEX('Pipeline A-B'!$L$2:$L$107,MATCH($B20,'Pipeline A-B'!$A$2:$A$107,0))</f>
        <v>Phone or email from company website, then LinkedIn</v>
      </c>
      <c r="K20" s="10" t="str">
        <f aca="false">INDEX('Pipeline A-B'!$T$2:$T$107,MATCH($B20,'Pipeline A-B'!$A$2:$A$107,0))</f>
        <v>2026-10-28</v>
      </c>
      <c r="L20" s="10" t="str">
        <f aca="false">INDEX('Pipeline A-B'!$R$2:$R$107,MATCH($B20,'Pipeline A-B'!$A$2:$A$107,0))</f>
        <v>To contact</v>
      </c>
    </row>
    <row r="21" customFormat="false" ht="23.85" hidden="false" customHeight="false" outlineLevel="0" collapsed="false">
      <c r="A21" s="4" t="n">
        <v>20</v>
      </c>
      <c r="B21" s="4" t="s">
        <v>312</v>
      </c>
      <c r="C21" s="11" t="str">
        <f aca="false">INDEX('Pipeline A-B'!$B$2:$B$107,MATCH($B21,'Pipeline A-B'!$A$2:$A$107,0))</f>
        <v>Portugal Residency Advisors</v>
      </c>
      <c r="D21" s="10" t="str">
        <f aca="false">INDEX('Pipeline A-B'!$D$2:$D$107,MATCH($B21,'Pipeline A-B'!$A$2:$A$107,0))</f>
        <v>BR</v>
      </c>
      <c r="E21" s="10" t="str">
        <f aca="false">INDEX('Pipeline A-B'!$E$2:$E$107,MATCH($B21,'Pipeline A-B'!$A$2:$A$107,0))</f>
        <v>B</v>
      </c>
      <c r="F21" s="10" t="str">
        <f aca="false">INDEX('Pipeline A-B'!$M$2:$M$107,MATCH($B21,'Pipeline A-B'!$A$2:$A$107,0))</f>
        <v>Silver</v>
      </c>
      <c r="G21" s="18" t="n">
        <f aca="false">INDEX('Pipeline A-B'!$P$2:$P$107,MATCH($B21,'Pipeline A-B'!$A$2:$A$107,0))</f>
        <v>306</v>
      </c>
      <c r="H21" s="19" t="n">
        <f aca="false">INDEX('Pipeline A-B'!$Q$2:$Q$107,MATCH($B21,'Pipeline A-B'!$A$2:$A$107,0))</f>
        <v>459</v>
      </c>
      <c r="I21" s="10" t="str">
        <f aca="false">INDEX('Pipeline A-B'!$K$2:$K$107,MATCH($B21,'Pipeline A-B'!$A$2:$A$107,0))</f>
        <v>Managing partner or business development</v>
      </c>
      <c r="J21" s="10" t="str">
        <f aca="false">INDEX('Pipeline A-B'!$L$2:$L$107,MATCH($B21,'Pipeline A-B'!$A$2:$A$107,0))</f>
        <v>Phone or email from company website, then LinkedIn</v>
      </c>
      <c r="K21" s="10" t="str">
        <f aca="false">INDEX('Pipeline A-B'!$T$2:$T$107,MATCH($B21,'Pipeline A-B'!$A$2:$A$107,0))</f>
        <v>2026-10-28</v>
      </c>
      <c r="L21" s="10" t="str">
        <f aca="false">INDEX('Pipeline A-B'!$R$2:$R$107,MATCH($B21,'Pipeline A-B'!$A$2:$A$107,0))</f>
        <v>To contact</v>
      </c>
    </row>
    <row r="22" customFormat="false" ht="23.85" hidden="false" customHeight="false" outlineLevel="0" collapsed="false">
      <c r="A22" s="4" t="n">
        <v>21</v>
      </c>
      <c r="B22" s="4" t="s">
        <v>317</v>
      </c>
      <c r="C22" s="11" t="str">
        <f aca="false">INDEX('Pipeline A-B'!$B$2:$B$107,MATCH($B22,'Pipeline A-B'!$A$2:$A$107,0))</f>
        <v>Silva Avocat &amp; Partners</v>
      </c>
      <c r="D22" s="10" t="str">
        <f aca="false">INDEX('Pipeline A-B'!$D$2:$D$107,MATCH($B22,'Pipeline A-B'!$A$2:$A$107,0))</f>
        <v>FR</v>
      </c>
      <c r="E22" s="10" t="str">
        <f aca="false">INDEX('Pipeline A-B'!$E$2:$E$107,MATCH($B22,'Pipeline A-B'!$A$2:$A$107,0))</f>
        <v>B</v>
      </c>
      <c r="F22" s="10" t="str">
        <f aca="false">INDEX('Pipeline A-B'!$M$2:$M$107,MATCH($B22,'Pipeline A-B'!$A$2:$A$107,0))</f>
        <v>Silver</v>
      </c>
      <c r="G22" s="18" t="n">
        <f aca="false">INDEX('Pipeline A-B'!$P$2:$P$107,MATCH($B22,'Pipeline A-B'!$A$2:$A$107,0))</f>
        <v>306</v>
      </c>
      <c r="H22" s="19" t="n">
        <f aca="false">INDEX('Pipeline A-B'!$Q$2:$Q$107,MATCH($B22,'Pipeline A-B'!$A$2:$A$107,0))</f>
        <v>459</v>
      </c>
      <c r="I22" s="10" t="str">
        <f aca="false">INDEX('Pipeline A-B'!$K$2:$K$107,MATCH($B22,'Pipeline A-B'!$A$2:$A$107,0))</f>
        <v>Managing partner or business development</v>
      </c>
      <c r="J22" s="10" t="str">
        <f aca="false">INDEX('Pipeline A-B'!$L$2:$L$107,MATCH($B22,'Pipeline A-B'!$A$2:$A$107,0))</f>
        <v>Phone or email from company website, then LinkedIn</v>
      </c>
      <c r="K22" s="10" t="str">
        <f aca="false">INDEX('Pipeline A-B'!$T$2:$T$107,MATCH($B22,'Pipeline A-B'!$A$2:$A$107,0))</f>
        <v>2026-10-28</v>
      </c>
      <c r="L22" s="10" t="str">
        <f aca="false">INDEX('Pipeline A-B'!$R$2:$R$107,MATCH($B22,'Pipeline A-B'!$A$2:$A$107,0))</f>
        <v>To contact</v>
      </c>
    </row>
    <row r="23" customFormat="false" ht="15" hidden="false" customHeight="false" outlineLevel="0" collapsed="false">
      <c r="A23" s="4" t="n">
        <v>22</v>
      </c>
      <c r="B23" s="4" t="s">
        <v>322</v>
      </c>
      <c r="C23" s="11" t="str">
        <f aca="false">INDEX('Pipeline A-B'!$B$2:$B$107,MATCH($B23,'Pipeline A-B'!$A$2:$A$107,0))</f>
        <v>ibani</v>
      </c>
      <c r="D23" s="10" t="str">
        <f aca="false">INDEX('Pipeline A-B'!$D$2:$D$107,MATCH($B23,'Pipeline A-B'!$A$2:$A$107,0))</f>
        <v>CH</v>
      </c>
      <c r="E23" s="10" t="str">
        <f aca="false">INDEX('Pipeline A-B'!$E$2:$E$107,MATCH($B23,'Pipeline A-B'!$A$2:$A$107,0))</f>
        <v>B</v>
      </c>
      <c r="F23" s="10" t="str">
        <f aca="false">INDEX('Pipeline A-B'!$M$2:$M$107,MATCH($B23,'Pipeline A-B'!$A$2:$A$107,0))</f>
        <v>Silver</v>
      </c>
      <c r="G23" s="18" t="n">
        <f aca="false">INDEX('Pipeline A-B'!$P$2:$P$107,MATCH($B23,'Pipeline A-B'!$A$2:$A$107,0))</f>
        <v>306</v>
      </c>
      <c r="H23" s="19" t="n">
        <f aca="false">INDEX('Pipeline A-B'!$Q$2:$Q$107,MATCH($B23,'Pipeline A-B'!$A$2:$A$107,0))</f>
        <v>459</v>
      </c>
      <c r="I23" s="10" t="str">
        <f aca="false">INDEX('Pipeline A-B'!$K$2:$K$107,MATCH($B23,'Pipeline A-B'!$A$2:$A$107,0))</f>
        <v>Partnerships / affiliates manager</v>
      </c>
      <c r="J23" s="10" t="str">
        <f aca="false">INDEX('Pipeline A-B'!$L$2:$L$107,MATCH($B23,'Pipeline A-B'!$A$2:$A$107,0))</f>
        <v>Website: ibani.com</v>
      </c>
      <c r="K23" s="10" t="str">
        <f aca="false">INDEX('Pipeline A-B'!$T$2:$T$107,MATCH($B23,'Pipeline A-B'!$A$2:$A$107,0))</f>
        <v>2026-10-28</v>
      </c>
      <c r="L23" s="10" t="str">
        <f aca="false">INDEX('Pipeline A-B'!$R$2:$R$107,MATCH($B23,'Pipeline A-B'!$A$2:$A$107,0))</f>
        <v>To contact</v>
      </c>
    </row>
    <row r="24" customFormat="false" ht="15" hidden="false" customHeight="false" outlineLevel="0" collapsed="false">
      <c r="A24" s="4" t="n">
        <v>23</v>
      </c>
      <c r="B24" s="4" t="s">
        <v>328</v>
      </c>
      <c r="C24" s="11" t="str">
        <f aca="false">INDEX('Pipeline A-B'!$B$2:$B$107,MATCH($B24,'Pipeline A-B'!$A$2:$A$107,0))</f>
        <v>Remessa Online</v>
      </c>
      <c r="D24" s="10" t="str">
        <f aca="false">INDEX('Pipeline A-B'!$D$2:$D$107,MATCH($B24,'Pipeline A-B'!$A$2:$A$107,0))</f>
        <v>BR</v>
      </c>
      <c r="E24" s="10" t="str">
        <f aca="false">INDEX('Pipeline A-B'!$E$2:$E$107,MATCH($B24,'Pipeline A-B'!$A$2:$A$107,0))</f>
        <v>A</v>
      </c>
      <c r="F24" s="10" t="str">
        <f aca="false">INDEX('Pipeline A-B'!$M$2:$M$107,MATCH($B24,'Pipeline A-B'!$A$2:$A$107,0))</f>
        <v>Affiliate + sponsor</v>
      </c>
      <c r="G24" s="18" t="n">
        <f aca="false">INDEX('Pipeline A-B'!$P$2:$P$107,MATCH($B24,'Pipeline A-B'!$A$2:$A$107,0))</f>
        <v>450</v>
      </c>
      <c r="H24" s="19" t="n">
        <f aca="false">INDEX('Pipeline A-B'!$Q$2:$Q$107,MATCH($B24,'Pipeline A-B'!$A$2:$A$107,0))</f>
        <v>450</v>
      </c>
      <c r="I24" s="10" t="str">
        <f aca="false">INDEX('Pipeline A-B'!$K$2:$K$107,MATCH($B24,'Pipeline A-B'!$A$2:$A$107,0))</f>
        <v>Partnerships / affiliates manager</v>
      </c>
      <c r="J24" s="10" t="str">
        <f aca="false">INDEX('Pipeline A-B'!$L$2:$L$107,MATCH($B24,'Pipeline A-B'!$A$2:$A$107,0))</f>
        <v>Website: remessaonline.com.br</v>
      </c>
      <c r="K24" s="10" t="str">
        <f aca="false">INDEX('Pipeline A-B'!$T$2:$T$107,MATCH($B24,'Pipeline A-B'!$A$2:$A$107,0))</f>
        <v>2026-10-28</v>
      </c>
      <c r="L24" s="10" t="str">
        <f aca="false">INDEX('Pipeline A-B'!$R$2:$R$107,MATCH($B24,'Pipeline A-B'!$A$2:$A$107,0))</f>
        <v>To contact</v>
      </c>
    </row>
    <row r="25" customFormat="false" ht="23.85" hidden="false" customHeight="false" outlineLevel="0" collapsed="false">
      <c r="A25" s="4" t="n">
        <v>24</v>
      </c>
      <c r="B25" s="4" t="s">
        <v>335</v>
      </c>
      <c r="C25" s="11" t="str">
        <f aca="false">INDEX('Pipeline A-B'!$B$2:$B$107,MATCH($B25,'Pipeline A-B'!$A$2:$A$107,0))</f>
        <v>Caixa Geral de Depósitos</v>
      </c>
      <c r="D25" s="10" t="str">
        <f aca="false">INDEX('Pipeline A-B'!$D$2:$D$107,MATCH($B25,'Pipeline A-B'!$A$2:$A$107,0))</f>
        <v>LU, FR, CH</v>
      </c>
      <c r="E25" s="10" t="str">
        <f aca="false">INDEX('Pipeline A-B'!$E$2:$E$107,MATCH($B25,'Pipeline A-B'!$A$2:$A$107,0))</f>
        <v>A</v>
      </c>
      <c r="F25" s="10" t="str">
        <f aca="false">INDEX('Pipeline A-B'!$M$2:$M$107,MATCH($B25,'Pipeline A-B'!$A$2:$A$107,0))</f>
        <v>Gold</v>
      </c>
      <c r="G25" s="18" t="n">
        <f aca="false">INDEX('Pipeline A-B'!$P$2:$P$107,MATCH($B25,'Pipeline A-B'!$A$2:$A$107,0))</f>
        <v>720</v>
      </c>
      <c r="H25" s="19" t="n">
        <f aca="false">INDEX('Pipeline A-B'!$Q$2:$Q$107,MATCH($B25,'Pipeline A-B'!$A$2:$A$107,0))</f>
        <v>432</v>
      </c>
      <c r="I25" s="10" t="str">
        <f aca="false">INDEX('Pipeline A-B'!$K$2:$K$107,MATCH($B25,'Pipeline A-B'!$A$2:$A$107,0))</f>
        <v>Marketing lead, non-resident / emigrant segment</v>
      </c>
      <c r="J25" s="10" t="str">
        <f aca="false">INDEX('Pipeline A-B'!$L$2:$L$107,MATCH($B25,'Pipeline A-B'!$A$2:$A$107,0))</f>
        <v>Website: cgd.pt</v>
      </c>
      <c r="K25" s="10" t="str">
        <f aca="false">INDEX('Pipeline A-B'!$T$2:$T$107,MATCH($B25,'Pipeline A-B'!$A$2:$A$107,0))</f>
        <v>2026-10-28</v>
      </c>
      <c r="L25" s="10" t="str">
        <f aca="false">INDEX('Pipeline A-B'!$R$2:$R$107,MATCH($B25,'Pipeline A-B'!$A$2:$A$107,0))</f>
        <v>To contact</v>
      </c>
    </row>
    <row r="26" customFormat="false" ht="23.85" hidden="false" customHeight="false" outlineLevel="0" collapsed="false">
      <c r="A26" s="4" t="n">
        <v>25</v>
      </c>
      <c r="B26" s="4" t="s">
        <v>341</v>
      </c>
      <c r="C26" s="11" t="str">
        <f aca="false">INDEX('Pipeline A-B'!$B$2:$B$107,MATCH($B26,'Pipeline A-B'!$A$2:$A$107,0))</f>
        <v>Montepio</v>
      </c>
      <c r="D26" s="10" t="str">
        <f aca="false">INDEX('Pipeline A-B'!$D$2:$D$107,MATCH($B26,'Pipeline A-B'!$A$2:$A$107,0))</f>
        <v>FR, LU, CH</v>
      </c>
      <c r="E26" s="10" t="str">
        <f aca="false">INDEX('Pipeline A-B'!$E$2:$E$107,MATCH($B26,'Pipeline A-B'!$A$2:$A$107,0))</f>
        <v>A</v>
      </c>
      <c r="F26" s="10" t="str">
        <f aca="false">INDEX('Pipeline A-B'!$M$2:$M$107,MATCH($B26,'Pipeline A-B'!$A$2:$A$107,0))</f>
        <v>Gold</v>
      </c>
      <c r="G26" s="18" t="n">
        <f aca="false">INDEX('Pipeline A-B'!$P$2:$P$107,MATCH($B26,'Pipeline A-B'!$A$2:$A$107,0))</f>
        <v>720</v>
      </c>
      <c r="H26" s="19" t="n">
        <f aca="false">INDEX('Pipeline A-B'!$Q$2:$Q$107,MATCH($B26,'Pipeline A-B'!$A$2:$A$107,0))</f>
        <v>432</v>
      </c>
      <c r="I26" s="10" t="str">
        <f aca="false">INDEX('Pipeline A-B'!$K$2:$K$107,MATCH($B26,'Pipeline A-B'!$A$2:$A$107,0))</f>
        <v>Marketing lead, non-resident / emigrant segment</v>
      </c>
      <c r="J26" s="10" t="str">
        <f aca="false">INDEX('Pipeline A-B'!$L$2:$L$107,MATCH($B26,'Pipeline A-B'!$A$2:$A$107,0))</f>
        <v>LinkedIn (named role); general partnerships email as backup</v>
      </c>
      <c r="K26" s="10" t="str">
        <f aca="false">INDEX('Pipeline A-B'!$T$2:$T$107,MATCH($B26,'Pipeline A-B'!$A$2:$A$107,0))</f>
        <v>2026-10-29</v>
      </c>
      <c r="L26" s="10" t="str">
        <f aca="false">INDEX('Pipeline A-B'!$R$2:$R$107,MATCH($B26,'Pipeline A-B'!$A$2:$A$107,0))</f>
        <v>To contact</v>
      </c>
    </row>
    <row r="27" customFormat="false" ht="23.85" hidden="false" customHeight="false" outlineLevel="0" collapsed="false">
      <c r="A27" s="4" t="n">
        <v>26</v>
      </c>
      <c r="B27" s="4" t="s">
        <v>346</v>
      </c>
      <c r="C27" s="11" t="str">
        <f aca="false">INDEX('Pipeline A-B'!$B$2:$B$107,MATCH($B27,'Pipeline A-B'!$A$2:$A$107,0))</f>
        <v>Quinta de Faro</v>
      </c>
      <c r="D27" s="10" t="str">
        <f aca="false">INDEX('Pipeline A-B'!$D$2:$D$107,MATCH($B27,'Pipeline A-B'!$A$2:$A$107,0))</f>
        <v>FR</v>
      </c>
      <c r="E27" s="10" t="str">
        <f aca="false">INDEX('Pipeline A-B'!$E$2:$E$107,MATCH($B27,'Pipeline A-B'!$A$2:$A$107,0))</f>
        <v>A</v>
      </c>
      <c r="F27" s="10" t="str">
        <f aca="false">INDEX('Pipeline A-B'!$M$2:$M$107,MATCH($B27,'Pipeline A-B'!$A$2:$A$107,0))</f>
        <v>Campaign</v>
      </c>
      <c r="G27" s="18" t="n">
        <f aca="false">INDEX('Pipeline A-B'!$P$2:$P$107,MATCH($B27,'Pipeline A-B'!$A$2:$A$107,0))</f>
        <v>375</v>
      </c>
      <c r="H27" s="19" t="n">
        <f aca="false">INDEX('Pipeline A-B'!$Q$2:$Q$107,MATCH($B27,'Pipeline A-B'!$A$2:$A$107,0))</f>
        <v>375</v>
      </c>
      <c r="I27" s="10" t="str">
        <f aca="false">INDEX('Pipeline A-B'!$K$2:$K$107,MATCH($B27,'Pipeline A-B'!$A$2:$A$107,0))</f>
        <v>Sales or marketing director</v>
      </c>
      <c r="J27" s="10" t="str">
        <f aca="false">INDEX('Pipeline A-B'!$L$2:$L$107,MATCH($B27,'Pipeline A-B'!$A$2:$A$107,0))</f>
        <v>LinkedIn (named role), then company email</v>
      </c>
      <c r="K27" s="10" t="str">
        <f aca="false">INDEX('Pipeline A-B'!$T$2:$T$107,MATCH($B27,'Pipeline A-B'!$A$2:$A$107,0))</f>
        <v>2026-10-29</v>
      </c>
      <c r="L27" s="10" t="str">
        <f aca="false">INDEX('Pipeline A-B'!$R$2:$R$107,MATCH($B27,'Pipeline A-B'!$A$2:$A$107,0))</f>
        <v>To contact</v>
      </c>
    </row>
    <row r="28" customFormat="false" ht="23.85" hidden="false" customHeight="false" outlineLevel="0" collapsed="false">
      <c r="A28" s="4" t="n">
        <v>27</v>
      </c>
      <c r="B28" s="4" t="s">
        <v>353</v>
      </c>
      <c r="C28" s="11" t="str">
        <f aca="false">INDEX('Pipeline A-B'!$B$2:$B$107,MATCH($B28,'Pipeline A-B'!$A$2:$A$107,0))</f>
        <v>Serip Group</v>
      </c>
      <c r="D28" s="10" t="str">
        <f aca="false">INDEX('Pipeline A-B'!$D$2:$D$107,MATCH($B28,'Pipeline A-B'!$A$2:$A$107,0))</f>
        <v>FR</v>
      </c>
      <c r="E28" s="10" t="str">
        <f aca="false">INDEX('Pipeline A-B'!$E$2:$E$107,MATCH($B28,'Pipeline A-B'!$A$2:$A$107,0))</f>
        <v>A</v>
      </c>
      <c r="F28" s="10" t="str">
        <f aca="false">INDEX('Pipeline A-B'!$M$2:$M$107,MATCH($B28,'Pipeline A-B'!$A$2:$A$107,0))</f>
        <v>Campaign</v>
      </c>
      <c r="G28" s="18" t="n">
        <f aca="false">INDEX('Pipeline A-B'!$P$2:$P$107,MATCH($B28,'Pipeline A-B'!$A$2:$A$107,0))</f>
        <v>375</v>
      </c>
      <c r="H28" s="19" t="n">
        <f aca="false">INDEX('Pipeline A-B'!$Q$2:$Q$107,MATCH($B28,'Pipeline A-B'!$A$2:$A$107,0))</f>
        <v>375</v>
      </c>
      <c r="I28" s="10" t="str">
        <f aca="false">INDEX('Pipeline A-B'!$K$2:$K$107,MATCH($B28,'Pipeline A-B'!$A$2:$A$107,0))</f>
        <v>Sales or marketing director</v>
      </c>
      <c r="J28" s="10" t="str">
        <f aca="false">INDEX('Pipeline A-B'!$L$2:$L$107,MATCH($B28,'Pipeline A-B'!$A$2:$A$107,0))</f>
        <v>LinkedIn (named role), then company email</v>
      </c>
      <c r="K28" s="10" t="str">
        <f aca="false">INDEX('Pipeline A-B'!$T$2:$T$107,MATCH($B28,'Pipeline A-B'!$A$2:$A$107,0))</f>
        <v>2026-10-29</v>
      </c>
      <c r="L28" s="10" t="str">
        <f aca="false">INDEX('Pipeline A-B'!$R$2:$R$107,MATCH($B28,'Pipeline A-B'!$A$2:$A$107,0))</f>
        <v>To contact</v>
      </c>
    </row>
    <row r="29" customFormat="false" ht="23.85" hidden="false" customHeight="false" outlineLevel="0" collapsed="false">
      <c r="A29" s="4" t="n">
        <v>28</v>
      </c>
      <c r="B29" s="4" t="s">
        <v>357</v>
      </c>
      <c r="C29" s="11" t="str">
        <f aca="false">INDEX('Pipeline A-B'!$B$2:$B$107,MATCH($B29,'Pipeline A-B'!$A$2:$A$107,0))</f>
        <v>Vision Supra Partners</v>
      </c>
      <c r="D29" s="10" t="str">
        <f aca="false">INDEX('Pipeline A-B'!$D$2:$D$107,MATCH($B29,'Pipeline A-B'!$A$2:$A$107,0))</f>
        <v>BR</v>
      </c>
      <c r="E29" s="10" t="str">
        <f aca="false">INDEX('Pipeline A-B'!$E$2:$E$107,MATCH($B29,'Pipeline A-B'!$A$2:$A$107,0))</f>
        <v>A</v>
      </c>
      <c r="F29" s="10" t="str">
        <f aca="false">INDEX('Pipeline A-B'!$M$2:$M$107,MATCH($B29,'Pipeline A-B'!$A$2:$A$107,0))</f>
        <v>Campaign</v>
      </c>
      <c r="G29" s="18" t="n">
        <f aca="false">INDEX('Pipeline A-B'!$P$2:$P$107,MATCH($B29,'Pipeline A-B'!$A$2:$A$107,0))</f>
        <v>375</v>
      </c>
      <c r="H29" s="19" t="n">
        <f aca="false">INDEX('Pipeline A-B'!$Q$2:$Q$107,MATCH($B29,'Pipeline A-B'!$A$2:$A$107,0))</f>
        <v>375</v>
      </c>
      <c r="I29" s="10" t="str">
        <f aca="false">INDEX('Pipeline A-B'!$K$2:$K$107,MATCH($B29,'Pipeline A-B'!$A$2:$A$107,0))</f>
        <v>Sales or marketing director</v>
      </c>
      <c r="J29" s="10" t="str">
        <f aca="false">INDEX('Pipeline A-B'!$L$2:$L$107,MATCH($B29,'Pipeline A-B'!$A$2:$A$107,0))</f>
        <v>LinkedIn (named role), then company email</v>
      </c>
      <c r="K29" s="10" t="str">
        <f aca="false">INDEX('Pipeline A-B'!$T$2:$T$107,MATCH($B29,'Pipeline A-B'!$A$2:$A$107,0))</f>
        <v>2026-10-29</v>
      </c>
      <c r="L29" s="10" t="str">
        <f aca="false">INDEX('Pipeline A-B'!$R$2:$R$107,MATCH($B29,'Pipeline A-B'!$A$2:$A$107,0))</f>
        <v>To contact</v>
      </c>
    </row>
    <row r="30" customFormat="false" ht="23.85" hidden="false" customHeight="false" outlineLevel="0" collapsed="false">
      <c r="A30" s="4" t="n">
        <v>29</v>
      </c>
      <c r="B30" s="4" t="s">
        <v>360</v>
      </c>
      <c r="C30" s="11" t="str">
        <f aca="false">INDEX('Pipeline A-B'!$B$2:$B$107,MATCH($B30,'Pipeline A-B'!$A$2:$A$107,0))</f>
        <v>Cafpi</v>
      </c>
      <c r="D30" s="10" t="str">
        <f aca="false">INDEX('Pipeline A-B'!$D$2:$D$107,MATCH($B30,'Pipeline A-B'!$A$2:$A$107,0))</f>
        <v>FR</v>
      </c>
      <c r="E30" s="10" t="str">
        <f aca="false">INDEX('Pipeline A-B'!$E$2:$E$107,MATCH($B30,'Pipeline A-B'!$A$2:$A$107,0))</f>
        <v>B</v>
      </c>
      <c r="F30" s="10" t="str">
        <f aca="false">INDEX('Pipeline A-B'!$M$2:$M$107,MATCH($B30,'Pipeline A-B'!$A$2:$A$107,0))</f>
        <v>Gold</v>
      </c>
      <c r="G30" s="18" t="n">
        <f aca="false">INDEX('Pipeline A-B'!$P$2:$P$107,MATCH($B30,'Pipeline A-B'!$A$2:$A$107,0))</f>
        <v>576</v>
      </c>
      <c r="H30" s="19" t="n">
        <f aca="false">INDEX('Pipeline A-B'!$Q$2:$Q$107,MATCH($B30,'Pipeline A-B'!$A$2:$A$107,0))</f>
        <v>345.6</v>
      </c>
      <c r="I30" s="10" t="str">
        <f aca="false">INDEX('Pipeline A-B'!$K$2:$K$107,MATCH($B30,'Pipeline A-B'!$A$2:$A$107,0))</f>
        <v>Partnerships or marketing lead</v>
      </c>
      <c r="J30" s="10" t="str">
        <f aca="false">INDEX('Pipeline A-B'!$L$2:$L$107,MATCH($B30,'Pipeline A-B'!$A$2:$A$107,0))</f>
        <v>LinkedIn (named role); general partnerships email as backup</v>
      </c>
      <c r="K30" s="10" t="str">
        <f aca="false">INDEX('Pipeline A-B'!$T$2:$T$107,MATCH($B30,'Pipeline A-B'!$A$2:$A$107,0))</f>
        <v>2026-10-29</v>
      </c>
      <c r="L30" s="10" t="str">
        <f aca="false">INDEX('Pipeline A-B'!$R$2:$R$107,MATCH($B30,'Pipeline A-B'!$A$2:$A$107,0))</f>
        <v>To contact</v>
      </c>
    </row>
    <row r="31" customFormat="false" ht="23.85" hidden="false" customHeight="false" outlineLevel="0" collapsed="false">
      <c r="A31" s="4" t="n">
        <v>30</v>
      </c>
      <c r="B31" s="4" t="s">
        <v>364</v>
      </c>
      <c r="C31" s="11" t="str">
        <f aca="false">INDEX('Pipeline A-B'!$B$2:$B$107,MATCH($B31,'Pipeline A-B'!$A$2:$A$107,0))</f>
        <v>Millennium bcp</v>
      </c>
      <c r="D31" s="10" t="str">
        <f aca="false">INDEX('Pipeline A-B'!$D$2:$D$107,MATCH($B31,'Pipeline A-B'!$A$2:$A$107,0))</f>
        <v>FR, LU, CH</v>
      </c>
      <c r="E31" s="10" t="str">
        <f aca="false">INDEX('Pipeline A-B'!$E$2:$E$107,MATCH($B31,'Pipeline A-B'!$A$2:$A$107,0))</f>
        <v>B</v>
      </c>
      <c r="F31" s="10" t="str">
        <f aca="false">INDEX('Pipeline A-B'!$M$2:$M$107,MATCH($B31,'Pipeline A-B'!$A$2:$A$107,0))</f>
        <v>Gold</v>
      </c>
      <c r="G31" s="18" t="n">
        <f aca="false">INDEX('Pipeline A-B'!$P$2:$P$107,MATCH($B31,'Pipeline A-B'!$A$2:$A$107,0))</f>
        <v>576</v>
      </c>
      <c r="H31" s="19" t="n">
        <f aca="false">INDEX('Pipeline A-B'!$Q$2:$Q$107,MATCH($B31,'Pipeline A-B'!$A$2:$A$107,0))</f>
        <v>345.6</v>
      </c>
      <c r="I31" s="10" t="str">
        <f aca="false">INDEX('Pipeline A-B'!$K$2:$K$107,MATCH($B31,'Pipeline A-B'!$A$2:$A$107,0))</f>
        <v>Marketing lead, non-resident / emigrant segment</v>
      </c>
      <c r="J31" s="10" t="str">
        <f aca="false">INDEX('Pipeline A-B'!$L$2:$L$107,MATCH($B31,'Pipeline A-B'!$A$2:$A$107,0))</f>
        <v>Website: millenniumbcp.pt</v>
      </c>
      <c r="K31" s="10" t="str">
        <f aca="false">INDEX('Pipeline A-B'!$T$2:$T$107,MATCH($B31,'Pipeline A-B'!$A$2:$A$107,0))</f>
        <v>2026-10-29</v>
      </c>
      <c r="L31" s="10" t="str">
        <f aca="false">INDEX('Pipeline A-B'!$R$2:$R$107,MATCH($B31,'Pipeline A-B'!$A$2:$A$107,0))</f>
        <v>To contact</v>
      </c>
    </row>
    <row r="32" customFormat="false" ht="23.85" hidden="false" customHeight="false" outlineLevel="0" collapsed="false">
      <c r="A32" s="4" t="n">
        <v>31</v>
      </c>
      <c r="B32" s="4" t="s">
        <v>368</v>
      </c>
      <c r="C32" s="11" t="str">
        <f aca="false">INDEX('Pipeline A-B'!$B$2:$B$107,MATCH($B32,'Pipeline A-B'!$A$2:$A$107,0))</f>
        <v>Novo Banco</v>
      </c>
      <c r="D32" s="10" t="str">
        <f aca="false">INDEX('Pipeline A-B'!$D$2:$D$107,MATCH($B32,'Pipeline A-B'!$A$2:$A$107,0))</f>
        <v>FR, LU, CH</v>
      </c>
      <c r="E32" s="10" t="str">
        <f aca="false">INDEX('Pipeline A-B'!$E$2:$E$107,MATCH($B32,'Pipeline A-B'!$A$2:$A$107,0))</f>
        <v>B</v>
      </c>
      <c r="F32" s="10" t="str">
        <f aca="false">INDEX('Pipeline A-B'!$M$2:$M$107,MATCH($B32,'Pipeline A-B'!$A$2:$A$107,0))</f>
        <v>Gold</v>
      </c>
      <c r="G32" s="18" t="n">
        <f aca="false">INDEX('Pipeline A-B'!$P$2:$P$107,MATCH($B32,'Pipeline A-B'!$A$2:$A$107,0))</f>
        <v>576</v>
      </c>
      <c r="H32" s="19" t="n">
        <f aca="false">INDEX('Pipeline A-B'!$Q$2:$Q$107,MATCH($B32,'Pipeline A-B'!$A$2:$A$107,0))</f>
        <v>345.6</v>
      </c>
      <c r="I32" s="10" t="str">
        <f aca="false">INDEX('Pipeline A-B'!$K$2:$K$107,MATCH($B32,'Pipeline A-B'!$A$2:$A$107,0))</f>
        <v>Marketing lead, non-resident / emigrant segment</v>
      </c>
      <c r="J32" s="10" t="str">
        <f aca="false">INDEX('Pipeline A-B'!$L$2:$L$107,MATCH($B32,'Pipeline A-B'!$A$2:$A$107,0))</f>
        <v>Website: novobanco.pt</v>
      </c>
      <c r="K32" s="10" t="str">
        <f aca="false">INDEX('Pipeline A-B'!$T$2:$T$107,MATCH($B32,'Pipeline A-B'!$A$2:$A$107,0))</f>
        <v>2026-10-29</v>
      </c>
      <c r="L32" s="10" t="str">
        <f aca="false">INDEX('Pipeline A-B'!$R$2:$R$107,MATCH($B32,'Pipeline A-B'!$A$2:$A$107,0))</f>
        <v>To contact</v>
      </c>
    </row>
    <row r="33" customFormat="false" ht="23.85" hidden="false" customHeight="false" outlineLevel="0" collapsed="false">
      <c r="A33" s="4" t="n">
        <v>32</v>
      </c>
      <c r="B33" s="4" t="s">
        <v>373</v>
      </c>
      <c r="C33" s="11" t="str">
        <f aca="false">INDEX('Pipeline A-B'!$B$2:$B$107,MATCH($B33,'Pipeline A-B'!$A$2:$A$107,0))</f>
        <v>Banco Rendimento</v>
      </c>
      <c r="D33" s="10" t="str">
        <f aca="false">INDEX('Pipeline A-B'!$D$2:$D$107,MATCH($B33,'Pipeline A-B'!$A$2:$A$107,0))</f>
        <v>BR</v>
      </c>
      <c r="E33" s="10" t="str">
        <f aca="false">INDEX('Pipeline A-B'!$E$2:$E$107,MATCH($B33,'Pipeline A-B'!$A$2:$A$107,0))</f>
        <v>A</v>
      </c>
      <c r="F33" s="10" t="str">
        <f aca="false">INDEX('Pipeline A-B'!$M$2:$M$107,MATCH($B33,'Pipeline A-B'!$A$2:$A$107,0))</f>
        <v>Silver</v>
      </c>
      <c r="G33" s="18" t="n">
        <f aca="false">INDEX('Pipeline A-B'!$P$2:$P$107,MATCH($B33,'Pipeline A-B'!$A$2:$A$107,0))</f>
        <v>270</v>
      </c>
      <c r="H33" s="19" t="n">
        <f aca="false">INDEX('Pipeline A-B'!$Q$2:$Q$107,MATCH($B33,'Pipeline A-B'!$A$2:$A$107,0))</f>
        <v>270</v>
      </c>
      <c r="I33" s="10" t="str">
        <f aca="false">INDEX('Pipeline A-B'!$K$2:$K$107,MATCH($B33,'Pipeline A-B'!$A$2:$A$107,0))</f>
        <v>Marketing lead, non-resident / emigrant segment</v>
      </c>
      <c r="J33" s="10" t="str">
        <f aca="false">INDEX('Pipeline A-B'!$L$2:$L$107,MATCH($B33,'Pipeline A-B'!$A$2:$A$107,0))</f>
        <v>LinkedIn (named role), then company email</v>
      </c>
      <c r="K33" s="10" t="str">
        <f aca="false">INDEX('Pipeline A-B'!$T$2:$T$107,MATCH($B33,'Pipeline A-B'!$A$2:$A$107,0))</f>
        <v>2026-10-29</v>
      </c>
      <c r="L33" s="10" t="str">
        <f aca="false">INDEX('Pipeline A-B'!$R$2:$R$107,MATCH($B33,'Pipeline A-B'!$A$2:$A$107,0))</f>
        <v>To contact</v>
      </c>
    </row>
    <row r="34" customFormat="false" ht="15" hidden="false" customHeight="false" outlineLevel="0" collapsed="false">
      <c r="A34" s="4" t="n">
        <v>33</v>
      </c>
      <c r="B34" s="4" t="s">
        <v>378</v>
      </c>
      <c r="C34" s="11" t="str">
        <f aca="false">INDEX('Pipeline A-B'!$B$2:$B$107,MATCH($B34,'Pipeline A-B'!$A$2:$A$107,0))</f>
        <v>Bordr</v>
      </c>
      <c r="D34" s="10" t="str">
        <f aca="false">INDEX('Pipeline A-B'!$D$2:$D$107,MATCH($B34,'Pipeline A-B'!$A$2:$A$107,0))</f>
        <v>LU, FR, CH, BR</v>
      </c>
      <c r="E34" s="10" t="str">
        <f aca="false">INDEX('Pipeline A-B'!$E$2:$E$107,MATCH($B34,'Pipeline A-B'!$A$2:$A$107,0))</f>
        <v>A</v>
      </c>
      <c r="F34" s="10" t="str">
        <f aca="false">INDEX('Pipeline A-B'!$M$2:$M$107,MATCH($B34,'Pipeline A-B'!$A$2:$A$107,0))</f>
        <v>Affiliate</v>
      </c>
      <c r="G34" s="18" t="n">
        <f aca="false">INDEX('Pipeline A-B'!$P$2:$P$107,MATCH($B34,'Pipeline A-B'!$A$2:$A$107,0))</f>
        <v>180</v>
      </c>
      <c r="H34" s="19" t="n">
        <f aca="false">INDEX('Pipeline A-B'!$Q$2:$Q$107,MATCH($B34,'Pipeline A-B'!$A$2:$A$107,0))</f>
        <v>270</v>
      </c>
      <c r="I34" s="10" t="str">
        <f aca="false">INDEX('Pipeline A-B'!$K$2:$K$107,MATCH($B34,'Pipeline A-B'!$A$2:$A$107,0))</f>
        <v>Partnerships / affiliates manager</v>
      </c>
      <c r="J34" s="10" t="str">
        <f aca="false">INDEX('Pipeline A-B'!$L$2:$L$107,MATCH($B34,'Pipeline A-B'!$A$2:$A$107,0))</f>
        <v>Website: bordr.com</v>
      </c>
      <c r="K34" s="10" t="str">
        <f aca="false">INDEX('Pipeline A-B'!$T$2:$T$107,MATCH($B34,'Pipeline A-B'!$A$2:$A$107,0))</f>
        <v>2026-10-30</v>
      </c>
      <c r="L34" s="10" t="str">
        <f aca="false">INDEX('Pipeline A-B'!$R$2:$R$107,MATCH($B34,'Pipeline A-B'!$A$2:$A$107,0))</f>
        <v>To contact</v>
      </c>
    </row>
    <row r="35" customFormat="false" ht="23.85" hidden="false" customHeight="false" outlineLevel="0" collapsed="false">
      <c r="A35" s="4" t="n">
        <v>34</v>
      </c>
      <c r="B35" s="4" t="s">
        <v>385</v>
      </c>
      <c r="C35" s="11" t="str">
        <f aca="false">INDEX('Pipeline A-B'!$B$2:$B$107,MATCH($B35,'Pipeline A-B'!$A$2:$A$107,0))</f>
        <v>CCA Law Firm</v>
      </c>
      <c r="D35" s="10" t="str">
        <f aca="false">INDEX('Pipeline A-B'!$D$2:$D$107,MATCH($B35,'Pipeline A-B'!$A$2:$A$107,0))</f>
        <v>FR, BR</v>
      </c>
      <c r="E35" s="10" t="str">
        <f aca="false">INDEX('Pipeline A-B'!$E$2:$E$107,MATCH($B35,'Pipeline A-B'!$A$2:$A$107,0))</f>
        <v>A</v>
      </c>
      <c r="F35" s="10" t="str">
        <f aca="false">INDEX('Pipeline A-B'!$M$2:$M$107,MATCH($B35,'Pipeline A-B'!$A$2:$A$107,0))</f>
        <v>Silver</v>
      </c>
      <c r="G35" s="18" t="n">
        <f aca="false">INDEX('Pipeline A-B'!$P$2:$P$107,MATCH($B35,'Pipeline A-B'!$A$2:$A$107,0))</f>
        <v>270</v>
      </c>
      <c r="H35" s="19" t="n">
        <f aca="false">INDEX('Pipeline A-B'!$Q$2:$Q$107,MATCH($B35,'Pipeline A-B'!$A$2:$A$107,0))</f>
        <v>270</v>
      </c>
      <c r="I35" s="10" t="str">
        <f aca="false">INDEX('Pipeline A-B'!$K$2:$K$107,MATCH($B35,'Pipeline A-B'!$A$2:$A$107,0))</f>
        <v>Managing partner or business development</v>
      </c>
      <c r="J35" s="10" t="str">
        <f aca="false">INDEX('Pipeline A-B'!$L$2:$L$107,MATCH($B35,'Pipeline A-B'!$A$2:$A$107,0))</f>
        <v>LinkedIn (named role), then company email</v>
      </c>
      <c r="K35" s="10" t="str">
        <f aca="false">INDEX('Pipeline A-B'!$T$2:$T$107,MATCH($B35,'Pipeline A-B'!$A$2:$A$107,0))</f>
        <v>2026-10-30</v>
      </c>
      <c r="L35" s="10" t="str">
        <f aca="false">INDEX('Pipeline A-B'!$R$2:$R$107,MATCH($B35,'Pipeline A-B'!$A$2:$A$107,0))</f>
        <v>To contact</v>
      </c>
    </row>
    <row r="36" customFormat="false" ht="23.85" hidden="false" customHeight="false" outlineLevel="0" collapsed="false">
      <c r="A36" s="4" t="n">
        <v>35</v>
      </c>
      <c r="B36" s="4" t="s">
        <v>387</v>
      </c>
      <c r="C36" s="11" t="str">
        <f aca="false">INDEX('Pipeline A-B'!$B$2:$B$107,MATCH($B36,'Pipeline A-B'!$A$2:$A$107,0))</f>
        <v>Fidelidade</v>
      </c>
      <c r="D36" s="10" t="str">
        <f aca="false">INDEX('Pipeline A-B'!$D$2:$D$107,MATCH($B36,'Pipeline A-B'!$A$2:$A$107,0))</f>
        <v>FR, LU, CH</v>
      </c>
      <c r="E36" s="10" t="str">
        <f aca="false">INDEX('Pipeline A-B'!$E$2:$E$107,MATCH($B36,'Pipeline A-B'!$A$2:$A$107,0))</f>
        <v>A</v>
      </c>
      <c r="F36" s="10" t="str">
        <f aca="false">INDEX('Pipeline A-B'!$M$2:$M$107,MATCH($B36,'Pipeline A-B'!$A$2:$A$107,0))</f>
        <v>Silver</v>
      </c>
      <c r="G36" s="18" t="n">
        <f aca="false">INDEX('Pipeline A-B'!$P$2:$P$107,MATCH($B36,'Pipeline A-B'!$A$2:$A$107,0))</f>
        <v>450</v>
      </c>
      <c r="H36" s="19" t="n">
        <f aca="false">INDEX('Pipeline A-B'!$Q$2:$Q$107,MATCH($B36,'Pipeline A-B'!$A$2:$A$107,0))</f>
        <v>270</v>
      </c>
      <c r="I36" s="10" t="str">
        <f aca="false">INDEX('Pipeline A-B'!$K$2:$K$107,MATCH($B36,'Pipeline A-B'!$A$2:$A$107,0))</f>
        <v>Marketing lead, retail</v>
      </c>
      <c r="J36" s="10" t="str">
        <f aca="false">INDEX('Pipeline A-B'!$L$2:$L$107,MATCH($B36,'Pipeline A-B'!$A$2:$A$107,0))</f>
        <v>LinkedIn (named role); general partnerships email as backup</v>
      </c>
      <c r="K36" s="10" t="str">
        <f aca="false">INDEX('Pipeline A-B'!$T$2:$T$107,MATCH($B36,'Pipeline A-B'!$A$2:$A$107,0))</f>
        <v>2026-10-30</v>
      </c>
      <c r="L36" s="10" t="str">
        <f aca="false">INDEX('Pipeline A-B'!$R$2:$R$107,MATCH($B36,'Pipeline A-B'!$A$2:$A$107,0))</f>
        <v>To contact</v>
      </c>
    </row>
    <row r="37" customFormat="false" ht="23.85" hidden="false" customHeight="false" outlineLevel="0" collapsed="false">
      <c r="A37" s="4" t="n">
        <v>36</v>
      </c>
      <c r="B37" s="4" t="s">
        <v>392</v>
      </c>
      <c r="C37" s="11" t="str">
        <f aca="false">INDEX('Pipeline A-B'!$B$2:$B$107,MATCH($B37,'Pipeline A-B'!$A$2:$A$107,0))</f>
        <v>Império (Ageas Portugal)</v>
      </c>
      <c r="D37" s="10" t="str">
        <f aca="false">INDEX('Pipeline A-B'!$D$2:$D$107,MATCH($B37,'Pipeline A-B'!$A$2:$A$107,0))</f>
        <v>FR</v>
      </c>
      <c r="E37" s="10" t="str">
        <f aca="false">INDEX('Pipeline A-B'!$E$2:$E$107,MATCH($B37,'Pipeline A-B'!$A$2:$A$107,0))</f>
        <v>A</v>
      </c>
      <c r="F37" s="10" t="str">
        <f aca="false">INDEX('Pipeline A-B'!$M$2:$M$107,MATCH($B37,'Pipeline A-B'!$A$2:$A$107,0))</f>
        <v>Silver</v>
      </c>
      <c r="G37" s="18" t="n">
        <f aca="false">INDEX('Pipeline A-B'!$P$2:$P$107,MATCH($B37,'Pipeline A-B'!$A$2:$A$107,0))</f>
        <v>450</v>
      </c>
      <c r="H37" s="19" t="n">
        <f aca="false">INDEX('Pipeline A-B'!$Q$2:$Q$107,MATCH($B37,'Pipeline A-B'!$A$2:$A$107,0))</f>
        <v>270</v>
      </c>
      <c r="I37" s="10" t="str">
        <f aca="false">INDEX('Pipeline A-B'!$K$2:$K$107,MATCH($B37,'Pipeline A-B'!$A$2:$A$107,0))</f>
        <v>Marketing lead, retail</v>
      </c>
      <c r="J37" s="10" t="str">
        <f aca="false">INDEX('Pipeline A-B'!$L$2:$L$107,MATCH($B37,'Pipeline A-B'!$A$2:$A$107,0))</f>
        <v>LinkedIn (named role); general partnerships email as backup</v>
      </c>
      <c r="K37" s="10" t="str">
        <f aca="false">INDEX('Pipeline A-B'!$T$2:$T$107,MATCH($B37,'Pipeline A-B'!$A$2:$A$107,0))</f>
        <v>2026-10-30</v>
      </c>
      <c r="L37" s="10" t="str">
        <f aca="false">INDEX('Pipeline A-B'!$R$2:$R$107,MATCH($B37,'Pipeline A-B'!$A$2:$A$107,0))</f>
        <v>To contact</v>
      </c>
    </row>
    <row r="38" customFormat="false" ht="23.85" hidden="false" customHeight="false" outlineLevel="0" collapsed="false">
      <c r="A38" s="4" t="n">
        <v>37</v>
      </c>
      <c r="B38" s="4" t="s">
        <v>395</v>
      </c>
      <c r="C38" s="11" t="str">
        <f aca="false">INDEX('Pipeline A-B'!$B$2:$B$107,MATCH($B38,'Pipeline A-B'!$A$2:$A$107,0))</f>
        <v>Martinez Echevarria &amp; Ferreira</v>
      </c>
      <c r="D38" s="10" t="str">
        <f aca="false">INDEX('Pipeline A-B'!$D$2:$D$107,MATCH($B38,'Pipeline A-B'!$A$2:$A$107,0))</f>
        <v>BR</v>
      </c>
      <c r="E38" s="10" t="str">
        <f aca="false">INDEX('Pipeline A-B'!$E$2:$E$107,MATCH($B38,'Pipeline A-B'!$A$2:$A$107,0))</f>
        <v>A</v>
      </c>
      <c r="F38" s="10" t="str">
        <f aca="false">INDEX('Pipeline A-B'!$M$2:$M$107,MATCH($B38,'Pipeline A-B'!$A$2:$A$107,0))</f>
        <v>Silver</v>
      </c>
      <c r="G38" s="18" t="n">
        <f aca="false">INDEX('Pipeline A-B'!$P$2:$P$107,MATCH($B38,'Pipeline A-B'!$A$2:$A$107,0))</f>
        <v>270</v>
      </c>
      <c r="H38" s="19" t="n">
        <f aca="false">INDEX('Pipeline A-B'!$Q$2:$Q$107,MATCH($B38,'Pipeline A-B'!$A$2:$A$107,0))</f>
        <v>270</v>
      </c>
      <c r="I38" s="10" t="str">
        <f aca="false">INDEX('Pipeline A-B'!$K$2:$K$107,MATCH($B38,'Pipeline A-B'!$A$2:$A$107,0))</f>
        <v>Managing partner or business development</v>
      </c>
      <c r="J38" s="10" t="str">
        <f aca="false">INDEX('Pipeline A-B'!$L$2:$L$107,MATCH($B38,'Pipeline A-B'!$A$2:$A$107,0))</f>
        <v>Website: martinezechevarria.com</v>
      </c>
      <c r="K38" s="10" t="str">
        <f aca="false">INDEX('Pipeline A-B'!$T$2:$T$107,MATCH($B38,'Pipeline A-B'!$A$2:$A$107,0))</f>
        <v>2026-10-30</v>
      </c>
      <c r="L38" s="10" t="str">
        <f aca="false">INDEX('Pipeline A-B'!$R$2:$R$107,MATCH($B38,'Pipeline A-B'!$A$2:$A$107,0))</f>
        <v>To contact</v>
      </c>
    </row>
    <row r="39" customFormat="false" ht="23.85" hidden="false" customHeight="false" outlineLevel="0" collapsed="false">
      <c r="A39" s="4" t="n">
        <v>38</v>
      </c>
      <c r="B39" s="4" t="s">
        <v>399</v>
      </c>
      <c r="C39" s="11" t="str">
        <f aca="false">INDEX('Pipeline A-B'!$B$2:$B$107,MATCH($B39,'Pipeline A-B'!$A$2:$A$107,0))</f>
        <v>e-residence</v>
      </c>
      <c r="D39" s="10" t="str">
        <f aca="false">INDEX('Pipeline A-B'!$D$2:$D$107,MATCH($B39,'Pipeline A-B'!$A$2:$A$107,0))</f>
        <v>BR, FR</v>
      </c>
      <c r="E39" s="10" t="str">
        <f aca="false">INDEX('Pipeline A-B'!$E$2:$E$107,MATCH($B39,'Pipeline A-B'!$A$2:$A$107,0))</f>
        <v>A</v>
      </c>
      <c r="F39" s="10" t="str">
        <f aca="false">INDEX('Pipeline A-B'!$M$2:$M$107,MATCH($B39,'Pipeline A-B'!$A$2:$A$107,0))</f>
        <v>Affiliate</v>
      </c>
      <c r="G39" s="18" t="n">
        <f aca="false">INDEX('Pipeline A-B'!$P$2:$P$107,MATCH($B39,'Pipeline A-B'!$A$2:$A$107,0))</f>
        <v>180</v>
      </c>
      <c r="H39" s="19" t="n">
        <f aca="false">INDEX('Pipeline A-B'!$Q$2:$Q$107,MATCH($B39,'Pipeline A-B'!$A$2:$A$107,0))</f>
        <v>270</v>
      </c>
      <c r="I39" s="10" t="str">
        <f aca="false">INDEX('Pipeline A-B'!$K$2:$K$107,MATCH($B39,'Pipeline A-B'!$A$2:$A$107,0))</f>
        <v>Partnerships / affiliates manager</v>
      </c>
      <c r="J39" s="10" t="str">
        <f aca="false">INDEX('Pipeline A-B'!$L$2:$L$107,MATCH($B39,'Pipeline A-B'!$A$2:$A$107,0))</f>
        <v>Phone or email from company website, then LinkedIn</v>
      </c>
      <c r="K39" s="10" t="str">
        <f aca="false">INDEX('Pipeline A-B'!$T$2:$T$107,MATCH($B39,'Pipeline A-B'!$A$2:$A$107,0))</f>
        <v>2026-10-30</v>
      </c>
      <c r="L39" s="10" t="str">
        <f aca="false">INDEX('Pipeline A-B'!$R$2:$R$107,MATCH($B39,'Pipeline A-B'!$A$2:$A$107,0))</f>
        <v>To contact</v>
      </c>
    </row>
    <row r="40" customFormat="false" ht="23.85" hidden="false" customHeight="false" outlineLevel="0" collapsed="false">
      <c r="A40" s="4" t="n">
        <v>39</v>
      </c>
      <c r="B40" s="4" t="s">
        <v>402</v>
      </c>
      <c r="C40" s="11" t="str">
        <f aca="false">INDEX('Pipeline A-B'!$B$2:$B$107,MATCH($B40,'Pipeline A-B'!$A$2:$A$107,0))</f>
        <v>SEGURAJA</v>
      </c>
      <c r="D40" s="10" t="str">
        <f aca="false">INDEX('Pipeline A-B'!$D$2:$D$107,MATCH($B40,'Pipeline A-B'!$A$2:$A$107,0))</f>
        <v>FR</v>
      </c>
      <c r="E40" s="10" t="str">
        <f aca="false">INDEX('Pipeline A-B'!$E$2:$E$107,MATCH($B40,'Pipeline A-B'!$A$2:$A$107,0))</f>
        <v>A</v>
      </c>
      <c r="F40" s="10" t="str">
        <f aca="false">INDEX('Pipeline A-B'!$M$2:$M$107,MATCH($B40,'Pipeline A-B'!$A$2:$A$107,0))</f>
        <v>Bronze</v>
      </c>
      <c r="G40" s="18" t="n">
        <f aca="false">INDEX('Pipeline A-B'!$P$2:$P$107,MATCH($B40,'Pipeline A-B'!$A$2:$A$107,0))</f>
        <v>162</v>
      </c>
      <c r="H40" s="19" t="n">
        <f aca="false">INDEX('Pipeline A-B'!$Q$2:$Q$107,MATCH($B40,'Pipeline A-B'!$A$2:$A$107,0))</f>
        <v>243</v>
      </c>
      <c r="I40" s="10" t="str">
        <f aca="false">INDEX('Pipeline A-B'!$K$2:$K$107,MATCH($B40,'Pipeline A-B'!$A$2:$A$107,0))</f>
        <v>Owner or marketing lead</v>
      </c>
      <c r="J40" s="10" t="str">
        <f aca="false">INDEX('Pipeline A-B'!$L$2:$L$107,MATCH($B40,'Pipeline A-B'!$A$2:$A$107,0))</f>
        <v>Phone or email from company website, then LinkedIn</v>
      </c>
      <c r="K40" s="10" t="str">
        <f aca="false">INDEX('Pipeline A-B'!$T$2:$T$107,MATCH($B40,'Pipeline A-B'!$A$2:$A$107,0))</f>
        <v>2026-10-30</v>
      </c>
      <c r="L40" s="10" t="str">
        <f aca="false">INDEX('Pipeline A-B'!$R$2:$R$107,MATCH($B40,'Pipeline A-B'!$A$2:$A$107,0))</f>
        <v>To contact</v>
      </c>
    </row>
    <row r="41" customFormat="false" ht="23.85" hidden="false" customHeight="false" outlineLevel="0" collapsed="false">
      <c r="A41" s="4" t="n">
        <v>40</v>
      </c>
      <c r="B41" s="4" t="s">
        <v>407</v>
      </c>
      <c r="C41" s="11" t="str">
        <f aca="false">INDEX('Pipeline A-B'!$B$2:$B$107,MATCH($B41,'Pipeline A-B'!$A$2:$A$107,0))</f>
        <v>ActivoBank</v>
      </c>
      <c r="D41" s="10" t="str">
        <f aca="false">INDEX('Pipeline A-B'!$D$2:$D$107,MATCH($B41,'Pipeline A-B'!$A$2:$A$107,0))</f>
        <v>BR</v>
      </c>
      <c r="E41" s="10" t="str">
        <f aca="false">INDEX('Pipeline A-B'!$E$2:$E$107,MATCH($B41,'Pipeline A-B'!$A$2:$A$107,0))</f>
        <v>B</v>
      </c>
      <c r="F41" s="10" t="str">
        <f aca="false">INDEX('Pipeline A-B'!$M$2:$M$107,MATCH($B41,'Pipeline A-B'!$A$2:$A$107,0))</f>
        <v>Silver</v>
      </c>
      <c r="G41" s="18" t="n">
        <f aca="false">INDEX('Pipeline A-B'!$P$2:$P$107,MATCH($B41,'Pipeline A-B'!$A$2:$A$107,0))</f>
        <v>216</v>
      </c>
      <c r="H41" s="19" t="n">
        <f aca="false">INDEX('Pipeline A-B'!$Q$2:$Q$107,MATCH($B41,'Pipeline A-B'!$A$2:$A$107,0))</f>
        <v>216</v>
      </c>
      <c r="I41" s="10" t="str">
        <f aca="false">INDEX('Pipeline A-B'!$K$2:$K$107,MATCH($B41,'Pipeline A-B'!$A$2:$A$107,0))</f>
        <v>Marketing lead, non-resident / emigrant segment</v>
      </c>
      <c r="J41" s="10" t="str">
        <f aca="false">INDEX('Pipeline A-B'!$L$2:$L$107,MATCH($B41,'Pipeline A-B'!$A$2:$A$107,0))</f>
        <v>LinkedIn (named role), then company email</v>
      </c>
      <c r="K41" s="10" t="str">
        <f aca="false">INDEX('Pipeline A-B'!$T$2:$T$107,MATCH($B41,'Pipeline A-B'!$A$2:$A$107,0))</f>
        <v>2026-10-30</v>
      </c>
      <c r="L41" s="10" t="str">
        <f aca="false">INDEX('Pipeline A-B'!$R$2:$R$107,MATCH($B41,'Pipeline A-B'!$A$2:$A$107,0))</f>
        <v>To contact</v>
      </c>
    </row>
    <row r="43" customFormat="false" ht="15" hidden="false" customHeight="false" outlineLevel="0" collapsed="false">
      <c r="C43" s="2" t="s">
        <v>792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" min="3" style="0" width="60"/>
    <col collapsed="false" customWidth="true" hidden="false" outlineLevel="0" max="5" min="4" style="0" width="40"/>
  </cols>
  <sheetData>
    <row r="1" customFormat="false" ht="15" hidden="false" customHeight="false" outlineLevel="0" collapsed="false">
      <c r="A1" s="3" t="s">
        <v>793</v>
      </c>
      <c r="B1" s="3" t="s">
        <v>10</v>
      </c>
      <c r="C1" s="3" t="s">
        <v>794</v>
      </c>
      <c r="D1" s="3" t="s">
        <v>33</v>
      </c>
      <c r="E1" s="3" t="s">
        <v>43</v>
      </c>
    </row>
    <row r="2" customFormat="false" ht="15" hidden="false" customHeight="false" outlineLevel="0" collapsed="false">
      <c r="A2" s="11" t="s">
        <v>795</v>
      </c>
      <c r="B2" s="10" t="s">
        <v>13</v>
      </c>
      <c r="C2" s="10" t="s">
        <v>796</v>
      </c>
      <c r="D2" s="20" t="s">
        <v>797</v>
      </c>
      <c r="E2" s="10" t="s">
        <v>798</v>
      </c>
    </row>
    <row r="3" customFormat="false" ht="23.85" hidden="false" customHeight="false" outlineLevel="0" collapsed="false">
      <c r="A3" s="11" t="s">
        <v>799</v>
      </c>
      <c r="B3" s="10" t="s">
        <v>13</v>
      </c>
      <c r="C3" s="10" t="s">
        <v>800</v>
      </c>
      <c r="D3" s="20" t="s">
        <v>211</v>
      </c>
      <c r="E3" s="10" t="s">
        <v>801</v>
      </c>
    </row>
    <row r="4" customFormat="false" ht="15" hidden="false" customHeight="false" outlineLevel="0" collapsed="false">
      <c r="A4" s="11" t="s">
        <v>802</v>
      </c>
      <c r="B4" s="10" t="s">
        <v>14</v>
      </c>
      <c r="C4" s="10" t="s">
        <v>803</v>
      </c>
      <c r="D4" s="20" t="s">
        <v>804</v>
      </c>
      <c r="E4" s="10" t="s">
        <v>805</v>
      </c>
    </row>
    <row r="5" customFormat="false" ht="15" hidden="false" customHeight="false" outlineLevel="0" collapsed="false">
      <c r="A5" s="11" t="s">
        <v>806</v>
      </c>
      <c r="B5" s="10" t="s">
        <v>12</v>
      </c>
      <c r="C5" s="10" t="s">
        <v>807</v>
      </c>
      <c r="D5" s="20" t="s">
        <v>808</v>
      </c>
      <c r="E5" s="10" t="s">
        <v>809</v>
      </c>
    </row>
    <row r="6" customFormat="false" ht="23.85" hidden="false" customHeight="false" outlineLevel="0" collapsed="false">
      <c r="A6" s="11" t="s">
        <v>810</v>
      </c>
      <c r="B6" s="10" t="s">
        <v>12</v>
      </c>
      <c r="C6" s="10" t="s">
        <v>811</v>
      </c>
      <c r="D6" s="20" t="s">
        <v>310</v>
      </c>
      <c r="E6" s="10" t="s">
        <v>812</v>
      </c>
    </row>
    <row r="7" customFormat="false" ht="15" hidden="false" customHeight="false" outlineLevel="0" collapsed="false">
      <c r="A7" s="11" t="s">
        <v>813</v>
      </c>
      <c r="B7" s="10" t="s">
        <v>13</v>
      </c>
      <c r="C7" s="10" t="s">
        <v>814</v>
      </c>
      <c r="D7" s="20" t="s">
        <v>211</v>
      </c>
      <c r="E7" s="10" t="s">
        <v>815</v>
      </c>
    </row>
    <row r="8" customFormat="false" ht="23.85" hidden="false" customHeight="false" outlineLevel="0" collapsed="false">
      <c r="A8" s="11" t="s">
        <v>816</v>
      </c>
      <c r="B8" s="10" t="s">
        <v>817</v>
      </c>
      <c r="C8" s="10" t="s">
        <v>818</v>
      </c>
      <c r="D8" s="20" t="s">
        <v>370</v>
      </c>
      <c r="E8" s="10" t="s">
        <v>819</v>
      </c>
    </row>
    <row r="9" customFormat="false" ht="23.85" hidden="false" customHeight="false" outlineLevel="0" collapsed="false">
      <c r="A9" s="11" t="s">
        <v>820</v>
      </c>
      <c r="B9" s="10" t="s">
        <v>13</v>
      </c>
      <c r="C9" s="10" t="s">
        <v>821</v>
      </c>
      <c r="D9" s="20" t="s">
        <v>218</v>
      </c>
      <c r="E9" s="10" t="s">
        <v>822</v>
      </c>
    </row>
    <row r="10" customFormat="false" ht="15" hidden="false" customHeight="false" outlineLevel="0" collapsed="false">
      <c r="A10" s="11" t="s">
        <v>823</v>
      </c>
      <c r="B10" s="10" t="s">
        <v>13</v>
      </c>
      <c r="C10" s="10" t="s">
        <v>824</v>
      </c>
      <c r="D10" s="20" t="s">
        <v>218</v>
      </c>
      <c r="E10" s="10" t="s">
        <v>825</v>
      </c>
    </row>
    <row r="11" customFormat="false" ht="15" hidden="false" customHeight="false" outlineLevel="0" collapsed="false">
      <c r="A11" s="11" t="s">
        <v>826</v>
      </c>
      <c r="B11" s="10" t="s">
        <v>12</v>
      </c>
      <c r="C11" s="10" t="s">
        <v>827</v>
      </c>
      <c r="D11" s="20" t="s">
        <v>828</v>
      </c>
      <c r="E11" s="10" t="s">
        <v>825</v>
      </c>
    </row>
    <row r="12" customFormat="false" ht="15" hidden="false" customHeight="false" outlineLevel="0" collapsed="false">
      <c r="A12" s="11" t="s">
        <v>829</v>
      </c>
      <c r="B12" s="10" t="s">
        <v>12</v>
      </c>
      <c r="C12" s="10" t="s">
        <v>830</v>
      </c>
      <c r="D12" s="20" t="s">
        <v>831</v>
      </c>
      <c r="E12" s="10" t="s">
        <v>832</v>
      </c>
    </row>
    <row r="13" customFormat="false" ht="23.85" hidden="false" customHeight="false" outlineLevel="0" collapsed="false">
      <c r="A13" s="11" t="s">
        <v>833</v>
      </c>
      <c r="B13" s="10" t="s">
        <v>15</v>
      </c>
      <c r="C13" s="10" t="s">
        <v>834</v>
      </c>
      <c r="D13" s="20" t="s">
        <v>331</v>
      </c>
      <c r="E13" s="10" t="s">
        <v>835</v>
      </c>
    </row>
    <row r="15" customFormat="false" ht="15" hidden="false" customHeight="false" outlineLevel="0" collapsed="false">
      <c r="A15" s="2" t="s">
        <v>836</v>
      </c>
    </row>
  </sheetData>
  <hyperlinks>
    <hyperlink ref="D2" r:id="rId1" display="https://www.idealista.pt/news/node/59586"/>
    <hyperlink ref="D3" r:id="rId2" display="https://lusojornal.com/salao-do-imobiliario-e-do-investimento-portugues-muda-se-para-a-porte-de-champeret/"/>
    <hyperlink ref="D4" r:id="rId3" display="https://www.idealista.pt/news/node/43936"/>
    <hyperlink ref="D5" r:id="rId4" display="https://cc.lu/agenda/detail/luxembourg-portugal-business-forum"/>
    <hyperlink ref="D6" r:id="rId5" display="https://en.paperjam.lu/club/event/paperjam-10x6-decisao-the-portuguese-business-community-in-action"/>
    <hyperlink ref="D7" r:id="rId6" display="https://lusojornal.com/salao-do-imobiliario-e-do-investimento-portugues-muda-se-para-a-porte-de-champeret/"/>
    <hyperlink ref="D8" r:id="rId7" display="https://lusopress.tv/wp-content/uploads/2025/12/Revista-142.pdf"/>
    <hyperlink ref="D9" r:id="rId8" display="https://lusopress.tv/wp-content/uploads/2023/07/lusopress_125.pdf"/>
    <hyperlink ref="D10" r:id="rId9" display="https://lusopress.tv/wp-content/uploads/2023/07/lusopress_125.pdf"/>
    <hyperlink ref="D11" r:id="rId10" display="https://en.paperjam.lu/guide/organisation/01276932145/radio-latina"/>
    <hyperlink ref="D12" r:id="rId11" display="https://en.wikipedia.org/wiki/Contacto_(Luxembourg)"/>
    <hyperlink ref="D13" r:id="rId12" display="https://www.eurodicas.com.br/comprar-casa-em-portugal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66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3" t="s">
        <v>837</v>
      </c>
      <c r="B1" s="3" t="s">
        <v>838</v>
      </c>
      <c r="C1" s="3" t="s">
        <v>839</v>
      </c>
      <c r="D1" s="3" t="s">
        <v>33</v>
      </c>
    </row>
    <row r="2" customFormat="false" ht="23.85" hidden="false" customHeight="false" outlineLevel="0" collapsed="false">
      <c r="A2" s="11" t="s">
        <v>840</v>
      </c>
      <c r="B2" s="10" t="s">
        <v>841</v>
      </c>
      <c r="C2" s="10" t="s">
        <v>842</v>
      </c>
      <c r="D2" s="20" t="s">
        <v>843</v>
      </c>
    </row>
    <row r="3" customFormat="false" ht="15" hidden="false" customHeight="false" outlineLevel="0" collapsed="false">
      <c r="A3" s="11" t="s">
        <v>844</v>
      </c>
      <c r="B3" s="10" t="s">
        <v>845</v>
      </c>
      <c r="C3" s="10" t="s">
        <v>846</v>
      </c>
      <c r="D3" s="20" t="s">
        <v>843</v>
      </c>
    </row>
    <row r="4" customFormat="false" ht="15" hidden="false" customHeight="false" outlineLevel="0" collapsed="false">
      <c r="A4" s="11" t="s">
        <v>847</v>
      </c>
      <c r="B4" s="10" t="s">
        <v>848</v>
      </c>
      <c r="C4" s="10" t="s">
        <v>849</v>
      </c>
      <c r="D4" s="20" t="s">
        <v>850</v>
      </c>
    </row>
    <row r="5" customFormat="false" ht="15" hidden="false" customHeight="false" outlineLevel="0" collapsed="false">
      <c r="A5" s="11" t="s">
        <v>851</v>
      </c>
      <c r="B5" s="10" t="s">
        <v>852</v>
      </c>
      <c r="C5" s="10" t="s">
        <v>853</v>
      </c>
      <c r="D5" s="20" t="s">
        <v>854</v>
      </c>
    </row>
    <row r="6" customFormat="false" ht="15" hidden="false" customHeight="false" outlineLevel="0" collapsed="false">
      <c r="A6" s="11" t="s">
        <v>855</v>
      </c>
      <c r="B6" s="10" t="s">
        <v>856</v>
      </c>
      <c r="C6" s="10" t="s">
        <v>857</v>
      </c>
      <c r="D6" s="20" t="s">
        <v>858</v>
      </c>
    </row>
    <row r="7" customFormat="false" ht="15" hidden="false" customHeight="false" outlineLevel="0" collapsed="false">
      <c r="A7" s="11" t="s">
        <v>859</v>
      </c>
      <c r="B7" s="10" t="s">
        <v>841</v>
      </c>
      <c r="C7" s="10" t="s">
        <v>860</v>
      </c>
      <c r="D7" s="10"/>
    </row>
    <row r="8" customFormat="false" ht="15" hidden="false" customHeight="false" outlineLevel="0" collapsed="false">
      <c r="A8" s="11" t="s">
        <v>861</v>
      </c>
      <c r="B8" s="10" t="s">
        <v>841</v>
      </c>
      <c r="C8" s="10" t="s">
        <v>860</v>
      </c>
      <c r="D8" s="10"/>
    </row>
    <row r="9" customFormat="false" ht="15" hidden="false" customHeight="false" outlineLevel="0" collapsed="false">
      <c r="A9" s="11" t="s">
        <v>862</v>
      </c>
      <c r="B9" s="10" t="s">
        <v>863</v>
      </c>
      <c r="C9" s="10" t="s">
        <v>864</v>
      </c>
      <c r="D9" s="10"/>
    </row>
    <row r="10" customFormat="false" ht="15" hidden="false" customHeight="false" outlineLevel="0" collapsed="false">
      <c r="A10" s="11" t="s">
        <v>865</v>
      </c>
      <c r="B10" s="10" t="s">
        <v>866</v>
      </c>
      <c r="C10" s="10" t="s">
        <v>867</v>
      </c>
      <c r="D10" s="20" t="s">
        <v>211</v>
      </c>
    </row>
  </sheetData>
  <hyperlinks>
    <hyperlink ref="D2" r:id="rId1" display="https://www.onlinemarketplaces.com/articles/idealistas-kyero-acquisition-cancelled-as-competition-authority-steps-in/"/>
    <hyperlink ref="D3" r:id="rId2" display="https://www.onlinemarketplaces.com/articles/idealistas-kyero-acquisition-cancelled-as-competition-authority-steps-in/"/>
    <hyperlink ref="D4" r:id="rId3" display="https://www.luxinmo.com/portals/green-acres"/>
    <hyperlink ref="D5" r:id="rId4" display="https://www.aplaceinthesun.com/advertise/magazine"/>
    <hyperlink ref="D6" r:id="rId5" display="https://www.portugalhomes.com/pt/move-to-portugal/services/property-management"/>
    <hyperlink ref="D10" r:id="rId6" display="https://lusojornal.com/salao-do-imobiliario-e-do-investimento-portugues-muda-se-para-a-porte-de-champeret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70"/>
    <col collapsed="false" customWidth="true" hidden="false" outlineLevel="0" max="5" min="5" style="0" width="34"/>
    <col collapsed="false" customWidth="true" hidden="false" outlineLevel="0" max="6" min="6" style="0" width="40"/>
    <col collapsed="false" customWidth="true" hidden="false" outlineLevel="0" max="7" min="7" style="0" width="13"/>
    <col collapsed="false" customWidth="true" hidden="false" outlineLevel="0" max="8" min="8" style="0" width="46"/>
    <col collapsed="false" customWidth="true" hidden="false" outlineLevel="0" max="9" min="9" style="0" width="40"/>
  </cols>
  <sheetData>
    <row r="1" customFormat="false" ht="15" hidden="false" customHeight="false" outlineLevel="0" collapsed="false">
      <c r="A1" s="3" t="s">
        <v>793</v>
      </c>
      <c r="B1" s="3" t="s">
        <v>838</v>
      </c>
      <c r="C1" s="3" t="s">
        <v>868</v>
      </c>
      <c r="D1" s="3" t="s">
        <v>869</v>
      </c>
      <c r="E1" s="3" t="s">
        <v>870</v>
      </c>
      <c r="F1" s="3" t="s">
        <v>33</v>
      </c>
      <c r="G1" s="3" t="s">
        <v>36</v>
      </c>
      <c r="H1" s="3" t="s">
        <v>871</v>
      </c>
      <c r="I1" s="3" t="s">
        <v>43</v>
      </c>
    </row>
    <row r="2" customFormat="false" ht="35.05" hidden="false" customHeight="false" outlineLevel="0" collapsed="false">
      <c r="A2" s="11" t="s">
        <v>872</v>
      </c>
      <c r="B2" s="10" t="s">
        <v>873</v>
      </c>
      <c r="C2" s="10" t="s">
        <v>874</v>
      </c>
      <c r="D2" s="10" t="s">
        <v>875</v>
      </c>
      <c r="E2" s="10" t="s">
        <v>876</v>
      </c>
      <c r="F2" s="20" t="s">
        <v>877</v>
      </c>
      <c r="G2" s="10" t="s">
        <v>203</v>
      </c>
      <c r="H2" s="10" t="s">
        <v>878</v>
      </c>
      <c r="I2" s="10" t="s">
        <v>879</v>
      </c>
    </row>
    <row r="3" customFormat="false" ht="23.85" hidden="false" customHeight="false" outlineLevel="0" collapsed="false">
      <c r="A3" s="11" t="s">
        <v>880</v>
      </c>
      <c r="B3" s="10" t="s">
        <v>873</v>
      </c>
      <c r="C3" s="10" t="s">
        <v>881</v>
      </c>
      <c r="D3" s="10" t="s">
        <v>882</v>
      </c>
      <c r="E3" s="10" t="s">
        <v>883</v>
      </c>
      <c r="F3" s="20" t="s">
        <v>884</v>
      </c>
      <c r="G3" s="10" t="s">
        <v>203</v>
      </c>
      <c r="H3" s="10" t="s">
        <v>885</v>
      </c>
      <c r="I3" s="10" t="s">
        <v>886</v>
      </c>
    </row>
    <row r="4" customFormat="false" ht="35.05" hidden="false" customHeight="false" outlineLevel="0" collapsed="false">
      <c r="A4" s="11" t="s">
        <v>887</v>
      </c>
      <c r="B4" s="10" t="s">
        <v>873</v>
      </c>
      <c r="C4" s="10" t="s">
        <v>881</v>
      </c>
      <c r="D4" s="10" t="s">
        <v>888</v>
      </c>
      <c r="E4" s="10" t="s">
        <v>889</v>
      </c>
      <c r="F4" s="20" t="s">
        <v>890</v>
      </c>
      <c r="G4" s="10" t="s">
        <v>203</v>
      </c>
      <c r="H4" s="10" t="s">
        <v>891</v>
      </c>
      <c r="I4" s="10" t="s">
        <v>892</v>
      </c>
    </row>
    <row r="5" customFormat="false" ht="23.85" hidden="false" customHeight="false" outlineLevel="0" collapsed="false">
      <c r="A5" s="11" t="s">
        <v>893</v>
      </c>
      <c r="B5" s="10" t="s">
        <v>873</v>
      </c>
      <c r="C5" s="10" t="s">
        <v>894</v>
      </c>
      <c r="D5" s="10" t="s">
        <v>895</v>
      </c>
      <c r="E5" s="10" t="s">
        <v>896</v>
      </c>
      <c r="F5" s="20" t="s">
        <v>897</v>
      </c>
      <c r="G5" s="10" t="s">
        <v>255</v>
      </c>
      <c r="H5" s="10" t="s">
        <v>898</v>
      </c>
      <c r="I5" s="10" t="s">
        <v>899</v>
      </c>
    </row>
    <row r="6" customFormat="false" ht="23.85" hidden="false" customHeight="false" outlineLevel="0" collapsed="false">
      <c r="A6" s="11" t="s">
        <v>900</v>
      </c>
      <c r="B6" s="10" t="s">
        <v>873</v>
      </c>
      <c r="C6" s="10" t="s">
        <v>500</v>
      </c>
      <c r="D6" s="10" t="s">
        <v>901</v>
      </c>
      <c r="E6" s="10" t="s">
        <v>902</v>
      </c>
      <c r="F6" s="20" t="s">
        <v>903</v>
      </c>
      <c r="G6" s="10" t="s">
        <v>255</v>
      </c>
      <c r="H6" s="10" t="s">
        <v>904</v>
      </c>
      <c r="I6" s="10" t="s">
        <v>905</v>
      </c>
    </row>
    <row r="7" customFormat="false" ht="35.05" hidden="false" customHeight="false" outlineLevel="0" collapsed="false">
      <c r="A7" s="11" t="s">
        <v>906</v>
      </c>
      <c r="B7" s="10" t="s">
        <v>907</v>
      </c>
      <c r="C7" s="10" t="s">
        <v>874</v>
      </c>
      <c r="D7" s="10" t="s">
        <v>908</v>
      </c>
      <c r="E7" s="10" t="s">
        <v>909</v>
      </c>
      <c r="F7" s="20" t="s">
        <v>910</v>
      </c>
      <c r="G7" s="10" t="s">
        <v>255</v>
      </c>
      <c r="H7" s="10" t="s">
        <v>911</v>
      </c>
      <c r="I7" s="10" t="s">
        <v>912</v>
      </c>
    </row>
    <row r="8" customFormat="false" ht="23.85" hidden="false" customHeight="false" outlineLevel="0" collapsed="false">
      <c r="A8" s="11" t="s">
        <v>913</v>
      </c>
      <c r="B8" s="10" t="s">
        <v>907</v>
      </c>
      <c r="C8" s="10" t="s">
        <v>881</v>
      </c>
      <c r="D8" s="10" t="s">
        <v>914</v>
      </c>
      <c r="E8" s="10" t="s">
        <v>915</v>
      </c>
      <c r="F8" s="20" t="s">
        <v>916</v>
      </c>
      <c r="G8" s="10" t="s">
        <v>203</v>
      </c>
      <c r="H8" s="10" t="s">
        <v>917</v>
      </c>
      <c r="I8" s="10" t="s">
        <v>892</v>
      </c>
    </row>
    <row r="9" customFormat="false" ht="35.05" hidden="false" customHeight="false" outlineLevel="0" collapsed="false">
      <c r="A9" s="11" t="s">
        <v>918</v>
      </c>
      <c r="B9" s="10" t="s">
        <v>907</v>
      </c>
      <c r="C9" s="10" t="s">
        <v>500</v>
      </c>
      <c r="D9" s="10" t="s">
        <v>919</v>
      </c>
      <c r="E9" s="10" t="s">
        <v>920</v>
      </c>
      <c r="F9" s="20" t="s">
        <v>921</v>
      </c>
      <c r="G9" s="10" t="s">
        <v>255</v>
      </c>
      <c r="H9" s="10" t="s">
        <v>922</v>
      </c>
      <c r="I9" s="10" t="s">
        <v>923</v>
      </c>
    </row>
    <row r="10" customFormat="false" ht="23.85" hidden="false" customHeight="false" outlineLevel="0" collapsed="false">
      <c r="A10" s="11" t="s">
        <v>924</v>
      </c>
      <c r="B10" s="10" t="s">
        <v>907</v>
      </c>
      <c r="C10" s="10" t="s">
        <v>894</v>
      </c>
      <c r="D10" s="10" t="s">
        <v>925</v>
      </c>
      <c r="E10" s="10" t="s">
        <v>926</v>
      </c>
      <c r="F10" s="20" t="s">
        <v>927</v>
      </c>
      <c r="G10" s="10" t="s">
        <v>255</v>
      </c>
      <c r="H10" s="10" t="s">
        <v>928</v>
      </c>
      <c r="I10" s="10" t="s">
        <v>892</v>
      </c>
    </row>
    <row r="12" customFormat="false" ht="15" hidden="false" customHeight="false" outlineLevel="0" collapsed="false">
      <c r="A12" s="2" t="s">
        <v>929</v>
      </c>
    </row>
  </sheetData>
  <hyperlinks>
    <hyperlink ref="F2" r:id="rId1" display="https://amchamportugal.pt"/>
    <hyperlink ref="F3" r:id="rId2" display="https://bpcc.pt"/>
    <hyperlink ref="F4" r:id="rId3" display="https://portugalglobal.pt/en/news/2026/fevereiro/moving-to-portugal-show-and-seminars-returns-to-central-london"/>
    <hyperlink ref="F5" r:id="rId4" display="https://www.eusmecentre.org.cn/partners/portugal-china-chamber-of-commerce-and-industry-ccilc"/>
    <hyperlink ref="F6" r:id="rId5" display="https://www.portugalresident.com/chamber/"/>
    <hyperlink ref="F7" r:id="rId6" display="https://www.trade.gov/portugal-contact-us"/>
    <hyperlink ref="F8" r:id="rId7" display="https://www.gov.uk/world/organisations/british-embassy-lisbon/office/department-for-business-and-trade"/>
    <hyperlink ref="F9" r:id="rId8" display="https://embassies.gov.il/portugal/en"/>
    <hyperlink ref="F10" r:id="rId9" display="https://pt.mofcom.gov.cn/AboutUs/art/2015/art_1d0f6ff0306d46a1b7192aa708363bfb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4" min="4" style="0" width="50"/>
    <col collapsed="false" customWidth="true" hidden="false" outlineLevel="0" max="5" min="5" style="0" width="60"/>
  </cols>
  <sheetData>
    <row r="1" customFormat="false" ht="15" hidden="false" customHeight="false" outlineLevel="0" collapsed="false">
      <c r="A1" s="3" t="s">
        <v>28</v>
      </c>
      <c r="B1" s="3" t="s">
        <v>29</v>
      </c>
      <c r="C1" s="3" t="s">
        <v>31</v>
      </c>
      <c r="D1" s="3" t="s">
        <v>33</v>
      </c>
      <c r="E1" s="3" t="s">
        <v>930</v>
      </c>
    </row>
    <row r="2" customFormat="false" ht="15" hidden="false" customHeight="false" outlineLevel="0" collapsed="false">
      <c r="A2" s="10" t="s">
        <v>931</v>
      </c>
      <c r="B2" s="10" t="s">
        <v>932</v>
      </c>
      <c r="C2" s="10" t="s">
        <v>51</v>
      </c>
      <c r="D2" s="10" t="s">
        <v>267</v>
      </c>
      <c r="E2" s="10" t="s">
        <v>933</v>
      </c>
    </row>
    <row r="3" customFormat="false" ht="15" hidden="false" customHeight="false" outlineLevel="0" collapsed="false">
      <c r="A3" s="10" t="s">
        <v>934</v>
      </c>
      <c r="B3" s="10" t="s">
        <v>935</v>
      </c>
      <c r="C3" s="10" t="s">
        <v>618</v>
      </c>
      <c r="D3" s="10"/>
      <c r="E3" s="10" t="s">
        <v>933</v>
      </c>
    </row>
    <row r="4" customFormat="false" ht="23.85" hidden="false" customHeight="false" outlineLevel="0" collapsed="false">
      <c r="A4" s="10" t="s">
        <v>936</v>
      </c>
      <c r="B4" s="10" t="s">
        <v>937</v>
      </c>
      <c r="C4" s="10" t="s">
        <v>51</v>
      </c>
      <c r="D4" s="10" t="s">
        <v>226</v>
      </c>
      <c r="E4" s="10" t="s">
        <v>933</v>
      </c>
    </row>
    <row r="5" customFormat="false" ht="23.85" hidden="false" customHeight="false" outlineLevel="0" collapsed="false">
      <c r="A5" s="10" t="s">
        <v>938</v>
      </c>
      <c r="B5" s="10" t="s">
        <v>932</v>
      </c>
      <c r="C5" s="10" t="s">
        <v>252</v>
      </c>
      <c r="D5" s="10" t="s">
        <v>939</v>
      </c>
      <c r="E5" s="10" t="s">
        <v>933</v>
      </c>
    </row>
    <row r="6" customFormat="false" ht="15" hidden="false" customHeight="false" outlineLevel="0" collapsed="false">
      <c r="A6" s="10" t="s">
        <v>940</v>
      </c>
      <c r="B6" s="10" t="s">
        <v>932</v>
      </c>
      <c r="C6" s="10" t="s">
        <v>51</v>
      </c>
      <c r="D6" s="10" t="s">
        <v>267</v>
      </c>
      <c r="E6" s="10" t="s">
        <v>933</v>
      </c>
    </row>
    <row r="7" customFormat="false" ht="15" hidden="false" customHeight="false" outlineLevel="0" collapsed="false">
      <c r="A7" s="10" t="s">
        <v>941</v>
      </c>
      <c r="B7" s="10" t="s">
        <v>932</v>
      </c>
      <c r="C7" s="10" t="s">
        <v>51</v>
      </c>
      <c r="D7" s="10" t="s">
        <v>267</v>
      </c>
      <c r="E7" s="10" t="s">
        <v>933</v>
      </c>
    </row>
    <row r="8" customFormat="false" ht="35.05" hidden="false" customHeight="false" outlineLevel="0" collapsed="false">
      <c r="A8" s="10" t="s">
        <v>942</v>
      </c>
      <c r="B8" s="10" t="s">
        <v>943</v>
      </c>
      <c r="C8" s="10" t="s">
        <v>252</v>
      </c>
      <c r="D8" s="10" t="s">
        <v>289</v>
      </c>
      <c r="E8" s="10" t="s">
        <v>933</v>
      </c>
    </row>
    <row r="9" customFormat="false" ht="23.85" hidden="false" customHeight="false" outlineLevel="0" collapsed="false">
      <c r="A9" s="10" t="s">
        <v>944</v>
      </c>
      <c r="B9" s="10" t="s">
        <v>945</v>
      </c>
      <c r="C9" s="10" t="s">
        <v>252</v>
      </c>
      <c r="D9" s="10" t="s">
        <v>946</v>
      </c>
      <c r="E9" s="10" t="s">
        <v>933</v>
      </c>
    </row>
    <row r="10" customFormat="false" ht="35.05" hidden="false" customHeight="false" outlineLevel="0" collapsed="false">
      <c r="A10" s="10" t="s">
        <v>947</v>
      </c>
      <c r="B10" s="10" t="s">
        <v>932</v>
      </c>
      <c r="C10" s="10" t="s">
        <v>51</v>
      </c>
      <c r="D10" s="10" t="s">
        <v>948</v>
      </c>
      <c r="E10" s="10" t="s">
        <v>933</v>
      </c>
    </row>
    <row r="11" customFormat="false" ht="15" hidden="false" customHeight="false" outlineLevel="0" collapsed="false">
      <c r="A11" s="10" t="s">
        <v>949</v>
      </c>
      <c r="B11" s="10" t="s">
        <v>932</v>
      </c>
      <c r="C11" s="10" t="s">
        <v>51</v>
      </c>
      <c r="D11" s="10" t="s">
        <v>267</v>
      </c>
      <c r="E11" s="10" t="s">
        <v>933</v>
      </c>
    </row>
    <row r="12" customFormat="false" ht="15" hidden="false" customHeight="false" outlineLevel="0" collapsed="false">
      <c r="A12" s="10" t="s">
        <v>950</v>
      </c>
      <c r="B12" s="10" t="s">
        <v>932</v>
      </c>
      <c r="C12" s="10" t="s">
        <v>51</v>
      </c>
      <c r="D12" s="10" t="s">
        <v>267</v>
      </c>
      <c r="E12" s="10" t="s">
        <v>933</v>
      </c>
    </row>
    <row r="13" customFormat="false" ht="23.85" hidden="false" customHeight="false" outlineLevel="0" collapsed="false">
      <c r="A13" s="10" t="s">
        <v>951</v>
      </c>
      <c r="B13" s="10" t="s">
        <v>952</v>
      </c>
      <c r="C13" s="10" t="s">
        <v>51</v>
      </c>
      <c r="D13" s="10" t="s">
        <v>376</v>
      </c>
      <c r="E13" s="10" t="s">
        <v>933</v>
      </c>
    </row>
    <row r="14" customFormat="false" ht="15" hidden="false" customHeight="false" outlineLevel="0" collapsed="false">
      <c r="A14" s="10" t="s">
        <v>953</v>
      </c>
      <c r="B14" s="10" t="s">
        <v>935</v>
      </c>
      <c r="C14" s="10" t="s">
        <v>618</v>
      </c>
      <c r="D14" s="10"/>
      <c r="E14" s="10" t="s">
        <v>933</v>
      </c>
    </row>
    <row r="15" customFormat="false" ht="23.85" hidden="false" customHeight="false" outlineLevel="0" collapsed="false">
      <c r="A15" s="10" t="s">
        <v>954</v>
      </c>
      <c r="B15" s="10" t="s">
        <v>955</v>
      </c>
      <c r="C15" s="10" t="s">
        <v>51</v>
      </c>
      <c r="D15" s="10" t="s">
        <v>956</v>
      </c>
      <c r="E15" s="10" t="s">
        <v>933</v>
      </c>
    </row>
    <row r="16" customFormat="false" ht="23.85" hidden="false" customHeight="false" outlineLevel="0" collapsed="false">
      <c r="A16" s="10" t="s">
        <v>957</v>
      </c>
      <c r="B16" s="10" t="s">
        <v>958</v>
      </c>
      <c r="C16" s="10" t="s">
        <v>51</v>
      </c>
      <c r="D16" s="10" t="s">
        <v>959</v>
      </c>
      <c r="E16" s="10" t="s">
        <v>933</v>
      </c>
    </row>
    <row r="17" customFormat="false" ht="23.85" hidden="false" customHeight="false" outlineLevel="0" collapsed="false">
      <c r="A17" s="10" t="s">
        <v>960</v>
      </c>
      <c r="B17" s="10" t="s">
        <v>961</v>
      </c>
      <c r="C17" s="10" t="s">
        <v>51</v>
      </c>
      <c r="D17" s="10" t="s">
        <v>331</v>
      </c>
      <c r="E17" s="10" t="s">
        <v>933</v>
      </c>
    </row>
    <row r="18" customFormat="false" ht="23.85" hidden="false" customHeight="false" outlineLevel="0" collapsed="false">
      <c r="A18" s="10" t="s">
        <v>962</v>
      </c>
      <c r="B18" s="10" t="s">
        <v>963</v>
      </c>
      <c r="C18" s="10" t="s">
        <v>51</v>
      </c>
      <c r="D18" s="10" t="s">
        <v>376</v>
      </c>
      <c r="E18" s="10" t="s">
        <v>933</v>
      </c>
    </row>
    <row r="19" customFormat="false" ht="23.85" hidden="false" customHeight="false" outlineLevel="0" collapsed="false">
      <c r="A19" s="10" t="s">
        <v>855</v>
      </c>
      <c r="B19" s="10" t="s">
        <v>964</v>
      </c>
      <c r="C19" s="10" t="s">
        <v>252</v>
      </c>
      <c r="D19" s="10" t="s">
        <v>858</v>
      </c>
      <c r="E19" s="10" t="s">
        <v>933</v>
      </c>
    </row>
    <row r="20" customFormat="false" ht="15" hidden="false" customHeight="false" outlineLevel="0" collapsed="false">
      <c r="A20" s="10" t="s">
        <v>965</v>
      </c>
      <c r="B20" s="10" t="s">
        <v>932</v>
      </c>
      <c r="C20" s="10" t="s">
        <v>618</v>
      </c>
      <c r="D20" s="10"/>
      <c r="E20" s="10" t="s">
        <v>933</v>
      </c>
    </row>
    <row r="21" customFormat="false" ht="15" hidden="false" customHeight="false" outlineLevel="0" collapsed="false">
      <c r="A21" s="10" t="s">
        <v>966</v>
      </c>
      <c r="B21" s="10" t="s">
        <v>932</v>
      </c>
      <c r="C21" s="10" t="s">
        <v>51</v>
      </c>
      <c r="D21" s="10" t="s">
        <v>267</v>
      </c>
      <c r="E21" s="10" t="s">
        <v>933</v>
      </c>
    </row>
    <row r="22" customFormat="false" ht="35.05" hidden="false" customHeight="false" outlineLevel="0" collapsed="false">
      <c r="A22" s="10" t="s">
        <v>967</v>
      </c>
      <c r="B22" s="10" t="s">
        <v>932</v>
      </c>
      <c r="C22" s="10" t="s">
        <v>51</v>
      </c>
      <c r="D22" s="10" t="s">
        <v>289</v>
      </c>
      <c r="E22" s="10" t="s">
        <v>933</v>
      </c>
    </row>
    <row r="23" customFormat="false" ht="15" hidden="false" customHeight="false" outlineLevel="0" collapsed="false">
      <c r="A23" s="10" t="s">
        <v>968</v>
      </c>
      <c r="B23" s="10" t="s">
        <v>935</v>
      </c>
      <c r="C23" s="10" t="s">
        <v>618</v>
      </c>
      <c r="D23" s="10"/>
      <c r="E23" s="10" t="s">
        <v>933</v>
      </c>
    </row>
    <row r="24" customFormat="false" ht="15" hidden="false" customHeight="false" outlineLevel="0" collapsed="false">
      <c r="A24" s="10" t="s">
        <v>969</v>
      </c>
      <c r="B24" s="10" t="s">
        <v>970</v>
      </c>
      <c r="C24" s="10" t="s">
        <v>51</v>
      </c>
      <c r="D24" s="10" t="s">
        <v>267</v>
      </c>
      <c r="E24" s="10" t="s">
        <v>933</v>
      </c>
    </row>
    <row r="25" customFormat="false" ht="15" hidden="false" customHeight="false" outlineLevel="0" collapsed="false">
      <c r="A25" s="10" t="s">
        <v>971</v>
      </c>
      <c r="B25" s="10" t="s">
        <v>935</v>
      </c>
      <c r="C25" s="10" t="s">
        <v>618</v>
      </c>
      <c r="D25" s="10"/>
      <c r="E25" s="10" t="s">
        <v>933</v>
      </c>
    </row>
    <row r="26" customFormat="false" ht="23.85" hidden="false" customHeight="false" outlineLevel="0" collapsed="false">
      <c r="A26" s="10" t="s">
        <v>972</v>
      </c>
      <c r="B26" s="10" t="s">
        <v>973</v>
      </c>
      <c r="C26" s="10" t="s">
        <v>252</v>
      </c>
      <c r="D26" s="10" t="s">
        <v>974</v>
      </c>
      <c r="E26" s="10" t="s">
        <v>933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48"/>
  </cols>
  <sheetData>
    <row r="1" customFormat="false" ht="15" hidden="false" customHeight="false" outlineLevel="0" collapsed="false">
      <c r="A1" s="21" t="s">
        <v>975</v>
      </c>
    </row>
    <row r="3" customFormat="false" ht="15" hidden="false" customHeight="false" outlineLevel="0" collapsed="false">
      <c r="A3" s="3" t="s">
        <v>976</v>
      </c>
      <c r="B3" s="3" t="s">
        <v>977</v>
      </c>
      <c r="C3" s="3" t="s">
        <v>978</v>
      </c>
    </row>
    <row r="4" customFormat="false" ht="15" hidden="false" customHeight="false" outlineLevel="0" collapsed="false">
      <c r="A4" s="4" t="s">
        <v>206</v>
      </c>
      <c r="B4" s="22" t="n">
        <v>4800</v>
      </c>
      <c r="C4" s="4" t="s">
        <v>979</v>
      </c>
    </row>
    <row r="5" customFormat="false" ht="15" hidden="false" customHeight="false" outlineLevel="0" collapsed="false">
      <c r="A5" s="4" t="s">
        <v>222</v>
      </c>
      <c r="B5" s="22" t="n">
        <v>1800</v>
      </c>
      <c r="C5" s="4" t="s">
        <v>980</v>
      </c>
    </row>
    <row r="6" customFormat="false" ht="15" hidden="false" customHeight="false" outlineLevel="0" collapsed="false">
      <c r="A6" s="4" t="s">
        <v>406</v>
      </c>
      <c r="B6" s="22" t="n">
        <v>540</v>
      </c>
      <c r="C6" s="4" t="s">
        <v>981</v>
      </c>
    </row>
    <row r="7" customFormat="false" ht="15" hidden="false" customHeight="false" outlineLevel="0" collapsed="false">
      <c r="A7" s="4" t="s">
        <v>352</v>
      </c>
      <c r="B7" s="22" t="n">
        <v>1500</v>
      </c>
      <c r="C7" s="4" t="s">
        <v>982</v>
      </c>
    </row>
    <row r="8" customFormat="false" ht="15" hidden="false" customHeight="false" outlineLevel="0" collapsed="false">
      <c r="A8" s="4" t="s">
        <v>983</v>
      </c>
      <c r="B8" s="22" t="n">
        <v>1200</v>
      </c>
      <c r="C8" s="4" t="s">
        <v>984</v>
      </c>
    </row>
    <row r="9" customFormat="false" ht="15" hidden="false" customHeight="false" outlineLevel="0" collapsed="false">
      <c r="A9" s="4" t="s">
        <v>383</v>
      </c>
      <c r="B9" s="22" t="n">
        <v>600</v>
      </c>
      <c r="C9" s="4" t="s">
        <v>985</v>
      </c>
    </row>
    <row r="10" customFormat="false" ht="15" hidden="false" customHeight="false" outlineLevel="0" collapsed="false">
      <c r="A10" s="4" t="s">
        <v>334</v>
      </c>
      <c r="B10" s="22" t="n">
        <v>1800</v>
      </c>
      <c r="C10" s="4" t="s">
        <v>986</v>
      </c>
    </row>
    <row r="12" customFormat="false" ht="15" hidden="false" customHeight="false" outlineLevel="0" collapsed="false">
      <c r="A12" s="3" t="s">
        <v>41</v>
      </c>
      <c r="B12" s="3" t="s">
        <v>987</v>
      </c>
      <c r="C12" s="3" t="s">
        <v>988</v>
      </c>
    </row>
    <row r="13" customFormat="false" ht="15" hidden="false" customHeight="false" outlineLevel="0" collapsed="false">
      <c r="A13" s="4" t="s">
        <v>989</v>
      </c>
      <c r="B13" s="23" t="n">
        <v>0.25</v>
      </c>
      <c r="C13" s="4" t="s">
        <v>990</v>
      </c>
    </row>
    <row r="14" customFormat="false" ht="15" hidden="false" customHeight="false" outlineLevel="0" collapsed="false">
      <c r="A14" s="4" t="s">
        <v>991</v>
      </c>
      <c r="B14" s="23" t="n">
        <v>0.15</v>
      </c>
      <c r="C14" s="4" t="s">
        <v>992</v>
      </c>
    </row>
    <row r="15" customFormat="false" ht="15" hidden="false" customHeight="false" outlineLevel="0" collapsed="false">
      <c r="A15" s="4" t="s">
        <v>6</v>
      </c>
      <c r="B15" s="23" t="n">
        <v>0.12</v>
      </c>
      <c r="C15" s="4" t="s">
        <v>993</v>
      </c>
    </row>
    <row r="16" customFormat="false" ht="15" hidden="false" customHeight="false" outlineLevel="0" collapsed="false">
      <c r="A16" s="4" t="s">
        <v>994</v>
      </c>
      <c r="B16" s="23" t="n">
        <v>0.04</v>
      </c>
      <c r="C16" s="4" t="s">
        <v>995</v>
      </c>
    </row>
    <row r="17" customFormat="false" ht="15" hidden="false" customHeight="false" outlineLevel="0" collapsed="false">
      <c r="A17" s="4" t="s">
        <v>996</v>
      </c>
      <c r="B17" s="23" t="n">
        <v>0.05</v>
      </c>
      <c r="C17" s="4" t="s">
        <v>997</v>
      </c>
    </row>
    <row r="19" customFormat="false" ht="15" hidden="false" customHeight="false" outlineLevel="0" collapsed="false">
      <c r="A19" s="3" t="s">
        <v>32</v>
      </c>
      <c r="B19" s="3" t="s">
        <v>998</v>
      </c>
      <c r="C19" s="3" t="s">
        <v>988</v>
      </c>
    </row>
    <row r="20" customFormat="false" ht="15" hidden="false" customHeight="false" outlineLevel="0" collapsed="false">
      <c r="A20" s="4" t="s">
        <v>217</v>
      </c>
      <c r="B20" s="24" t="n">
        <v>1.5</v>
      </c>
      <c r="C20" s="4" t="s">
        <v>999</v>
      </c>
    </row>
    <row r="21" customFormat="false" ht="15" hidden="false" customHeight="false" outlineLevel="0" collapsed="false">
      <c r="A21" s="4" t="s">
        <v>200</v>
      </c>
      <c r="B21" s="24" t="n">
        <v>1</v>
      </c>
      <c r="C21" s="4" t="s">
        <v>1000</v>
      </c>
    </row>
    <row r="22" customFormat="false" ht="15" hidden="false" customHeight="false" outlineLevel="0" collapsed="false">
      <c r="A22" s="4" t="s">
        <v>52</v>
      </c>
      <c r="B22" s="24" t="n">
        <v>0.6</v>
      </c>
      <c r="C22" s="4" t="s">
        <v>1001</v>
      </c>
    </row>
    <row r="24" customFormat="false" ht="15" hidden="false" customHeight="false" outlineLevel="0" collapsed="false">
      <c r="A24" s="2" t="s">
        <v>1002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2026-10-26T13:23:11Z</dcterms:created>
  <dc:creator>openpyxl</dc:creator>
  <dc:description/>
  <dc:language>en-US</dc:language>
  <cp:lastModifiedBy/>
  <dcterms:modified xsi:type="dcterms:W3CDTF">2026-10-26T13:23:11Z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
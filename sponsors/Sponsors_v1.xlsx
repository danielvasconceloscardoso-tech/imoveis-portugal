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Lista 100" sheetId="2" state="visible" r:id="rId4"/>
    <sheet name="Setores e abordagem" sheetId="3" state="visible" r:id="rId5"/>
    <sheet name="Sequência e emails" sheetId="4" state="visible" r:id="rId6"/>
    <sheet name="Parceiros de acesso" sheetId="5" state="visible" r:id="rId7"/>
  </sheets>
  <definedNames>
    <definedName function="false" hidden="true" localSheetId="1" name="_xlnm._FilterDatabase" vbProcedure="false">'Lista 100'!$A$1:$N$101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<sst xmlns="http://schemas.openxmlformats.org/spreadsheetml/2006/main" count="1170" uniqueCount="483">
  <si>
    <t xml:space="preserve">Resumo da lista</t>
  </si>
  <si>
    <t xml:space="preserve">Setor</t>
  </si>
  <si>
    <t xml:space="preserve">Empresas</t>
  </si>
  <si>
    <t xml:space="preserve">Prioridade 1</t>
  </si>
  <si>
    <t xml:space="preserve">Fechados</t>
  </si>
  <si>
    <t xml:space="preserve">Bancos e crédito</t>
  </si>
  <si>
    <t xml:space="preserve">Câmbio e transferências</t>
  </si>
  <si>
    <t xml:space="preserve">Advogados e imigração</t>
  </si>
  <si>
    <t xml:space="preserve">Fiscalidade e pensões</t>
  </si>
  <si>
    <t xml:space="preserve">Promotores imobiliários</t>
  </si>
  <si>
    <t xml:space="preserve">Agências imobiliárias</t>
  </si>
  <si>
    <t xml:space="preserve">Seguros</t>
  </si>
  <si>
    <t xml:space="preserve">Gestão de arrendamento</t>
  </si>
  <si>
    <t xml:space="preserve">Obras, casa e energia</t>
  </si>
  <si>
    <t xml:space="preserve">Mudanças e viagens</t>
  </si>
  <si>
    <t xml:space="preserve">Total</t>
  </si>
  <si>
    <t xml:space="preserve">Edição</t>
  </si>
  <si>
    <t xml:space="preserve">Empresas que a incluem</t>
  </si>
  <si>
    <t xml:space="preserve">LU</t>
  </si>
  <si>
    <t xml:space="preserve">FR</t>
  </si>
  <si>
    <t xml:space="preserve">CH</t>
  </si>
  <si>
    <t xml:space="preserve">BR</t>
  </si>
  <si>
    <t xml:space="preserve">'Todas' conta para as quatro edições; empresas com várias edições contam em cada uma.</t>
  </si>
  <si>
    <t xml:space="preserve">#</t>
  </si>
  <si>
    <t xml:space="preserve">Empresa</t>
  </si>
  <si>
    <t xml:space="preserve">Edições</t>
  </si>
  <si>
    <t xml:space="preserve">Prioridade</t>
  </si>
  <si>
    <t xml:space="preserve">Pacote sugerido</t>
  </si>
  <si>
    <t xml:space="preserve">Porque nos paga</t>
  </si>
  <si>
    <t xml:space="preserve">Quem procurar</t>
  </si>
  <si>
    <t xml:space="preserve">Melhor canal</t>
  </si>
  <si>
    <t xml:space="preserve">Site</t>
  </si>
  <si>
    <t xml:space="preserve">Verificação</t>
  </si>
  <si>
    <t xml:space="preserve">Estado</t>
  </si>
  <si>
    <t xml:space="preserve">Quem contacta</t>
  </si>
  <si>
    <t xml:space="preserve">Notas</t>
  </si>
  <si>
    <t xml:space="preserve">Caiado Guerreiro</t>
  </si>
  <si>
    <t xml:space="preserve">BR, Todas</t>
  </si>
  <si>
    <t xml:space="preserve">Gold</t>
  </si>
  <si>
    <t xml:space="preserve">Clientes internacionais e brasileiros; imobiliário e residência</t>
  </si>
  <si>
    <t xml:space="preserve">Sócio / Business development</t>
  </si>
  <si>
    <t xml:space="preserve">LinkedIn + email</t>
  </si>
  <si>
    <t xml:space="preserve">caiadoguerreiro.com</t>
  </si>
  <si>
    <t xml:space="preserve">Conhecida — confirmar contacto</t>
  </si>
  <si>
    <t xml:space="preserve">Por contactar</t>
  </si>
  <si>
    <t xml:space="preserve">Antas da Cunha Ecija</t>
  </si>
  <si>
    <t xml:space="preserve">Forte em clientes brasileiros</t>
  </si>
  <si>
    <t xml:space="preserve">antasdacunha.pt</t>
  </si>
  <si>
    <t xml:space="preserve">RFF Lawyers</t>
  </si>
  <si>
    <t xml:space="preserve">Todas</t>
  </si>
  <si>
    <t xml:space="preserve">Fiscalidade de não residentes e de quem regressa</t>
  </si>
  <si>
    <t xml:space="preserve">Sócio / Marketing</t>
  </si>
  <si>
    <t xml:space="preserve">rfflawyers.com</t>
  </si>
  <si>
    <t xml:space="preserve">LVP Advogados</t>
  </si>
  <si>
    <t xml:space="preserve">Diz servir clientes de mais de 150 países em investimentos em Portugal</t>
  </si>
  <si>
    <t xml:space="preserve">Sócio</t>
  </si>
  <si>
    <t xml:space="preserve">Email</t>
  </si>
  <si>
    <t xml:space="preserve">lvpadvogados.com</t>
  </si>
  <si>
    <t xml:space="preserve">Confirmado na pesquisa</t>
  </si>
  <si>
    <t xml:space="preserve">Martins Castro</t>
  </si>
  <si>
    <t xml:space="preserve">Imobiliário e imigração para estrangeiros</t>
  </si>
  <si>
    <t xml:space="preserve">martinscastro.pt</t>
  </si>
  <si>
    <t xml:space="preserve">Silva Avocat &amp; Partners</t>
  </si>
  <si>
    <t xml:space="preserve">Silver</t>
  </si>
  <si>
    <t xml:space="preserve">Advogada inscrita em Paris e Lisboa; trabalha em francês e português</t>
  </si>
  <si>
    <t xml:space="preserve">Fundadora</t>
  </si>
  <si>
    <t xml:space="preserve">LinkedIn</t>
  </si>
  <si>
    <t xml:space="preserve">a confirmar</t>
  </si>
  <si>
    <t xml:space="preserve">Fábio Neves Imobiliária</t>
  </si>
  <si>
    <t xml:space="preserve">LU, FR</t>
  </si>
  <si>
    <t xml:space="preserve">Escritórios no Luxemburgo, em França e no Alto Minho; foco em compradores de fora</t>
  </si>
  <si>
    <t xml:space="preserve">Fundador</t>
  </si>
  <si>
    <t xml:space="preserve">Email + LinkedIn</t>
  </si>
  <si>
    <t xml:space="preserve">fabioneves.pt</t>
  </si>
  <si>
    <t xml:space="preserve">Caixa Geral de Depósitos</t>
  </si>
  <si>
    <t xml:space="preserve">Sucursal em França e escritório de representação no Luxemburgo; o emigrante é cliente histórico</t>
  </si>
  <si>
    <t xml:space="preserve">Marketing / Rede internacional</t>
  </si>
  <si>
    <t xml:space="preserve">LinkedIn + email institucional</t>
  </si>
  <si>
    <t xml:space="preserve">cgd.pt</t>
  </si>
  <si>
    <t xml:space="preserve">Millennium bcp</t>
  </si>
  <si>
    <t xml:space="preserve">FR, LU, CH</t>
  </si>
  <si>
    <t xml:space="preserve">Tem área dedicada a residentes em França; crédito habitação a não residentes</t>
  </si>
  <si>
    <t xml:space="preserve">Marketing / Residentes no estrangeiro</t>
  </si>
  <si>
    <t xml:space="preserve">millenniumbcp.pt</t>
  </si>
  <si>
    <t xml:space="preserve">Banque BCP (França)</t>
  </si>
  <si>
    <t xml:space="preserve">Banco francês nascido na comunidade portuguesa; financia compras em Portugal</t>
  </si>
  <si>
    <t xml:space="preserve">Marketing / Diretor de agência</t>
  </si>
  <si>
    <t xml:space="preserve">Email + visita a agência</t>
  </si>
  <si>
    <t xml:space="preserve">banquebcp.fr</t>
  </si>
  <si>
    <t xml:space="preserve">Novo Banco</t>
  </si>
  <si>
    <t xml:space="preserve">Oferta para emigrantes e não residentes</t>
  </si>
  <si>
    <t xml:space="preserve">Marketing / Segmento emigrantes</t>
  </si>
  <si>
    <t xml:space="preserve">novobanco.pt</t>
  </si>
  <si>
    <t xml:space="preserve">Doutor Finanças</t>
  </si>
  <si>
    <t xml:space="preserve">Intermediário de crédito com conteúdo sobre crédito a emigrantes</t>
  </si>
  <si>
    <t xml:space="preserve">Marketing / Parcerias</t>
  </si>
  <si>
    <t xml:space="preserve">Email parcerias</t>
  </si>
  <si>
    <t xml:space="preserve">doutorfinancas.pt</t>
  </si>
  <si>
    <t xml:space="preserve">Wise</t>
  </si>
  <si>
    <t xml:space="preserve">CH, BR, Todas</t>
  </si>
  <si>
    <t xml:space="preserve">Transferências CHF/BRL para EUR na compra de casa</t>
  </si>
  <si>
    <t xml:space="preserve">Partnerships / Affiliates</t>
  </si>
  <si>
    <t xml:space="preserve">Programa de afiliados + LinkedIn</t>
  </si>
  <si>
    <t xml:space="preserve">wise.com</t>
  </si>
  <si>
    <t xml:space="preserve">Ebury (Brasil)</t>
  </si>
  <si>
    <t xml:space="preserve">Já escreve sobre como pagar um imóvel em Portugal a partir do Brasil</t>
  </si>
  <si>
    <t xml:space="preserve">Marketing Brasil</t>
  </si>
  <si>
    <t xml:space="preserve">br.ebury.com</t>
  </si>
  <si>
    <t xml:space="preserve">Currencies Direct</t>
  </si>
  <si>
    <t xml:space="preserve">Especialista em câmbio para compra de casa no estrangeiro</t>
  </si>
  <si>
    <t xml:space="preserve">Partnerships</t>
  </si>
  <si>
    <t xml:space="preserve">Programa de parceiros</t>
  </si>
  <si>
    <t xml:space="preserve">currenciesdirect.com</t>
  </si>
  <si>
    <t xml:space="preserve">ibani</t>
  </si>
  <si>
    <t xml:space="preserve">Guias em português sobre levantar o 2.º pilar suíço para comprar casa</t>
  </si>
  <si>
    <t xml:space="preserve">Fundador / Marketing</t>
  </si>
  <si>
    <t xml:space="preserve">ibani.com</t>
  </si>
  <si>
    <t xml:space="preserve">Vanguard Properties</t>
  </si>
  <si>
    <t xml:space="preserve">CH, LU, BR</t>
  </si>
  <si>
    <t xml:space="preserve">Campanha</t>
  </si>
  <si>
    <t xml:space="preserve">Obra nova em Lisboa, Algarve e Comporta</t>
  </si>
  <si>
    <t xml:space="preserve">Diretor comercial</t>
  </si>
  <si>
    <t xml:space="preserve">vanguardproperties.pt</t>
  </si>
  <si>
    <t xml:space="preserve">VIC Properties</t>
  </si>
  <si>
    <t xml:space="preserve">Grandes projetos residenciais em Lisboa</t>
  </si>
  <si>
    <t xml:space="preserve">Marketing</t>
  </si>
  <si>
    <t xml:space="preserve">vicproperties.com</t>
  </si>
  <si>
    <t xml:space="preserve">Kronos Homes</t>
  </si>
  <si>
    <t xml:space="preserve">Obra nova no Algarve e em Lisboa</t>
  </si>
  <si>
    <t xml:space="preserve">kronoshomes.com</t>
  </si>
  <si>
    <t xml:space="preserve">JPS Group</t>
  </si>
  <si>
    <t xml:space="preserve">FR, LU</t>
  </si>
  <si>
    <t xml:space="preserve">Promotor do Porto, perto de onde vêm muitos emigrantes</t>
  </si>
  <si>
    <t xml:space="preserve">Comercial</t>
  </si>
  <si>
    <t xml:space="preserve">jpsgroup.pt</t>
  </si>
  <si>
    <t xml:space="preserve">Lexidy</t>
  </si>
  <si>
    <t xml:space="preserve">Escritório para clientes estrangeiros em Portugal</t>
  </si>
  <si>
    <t xml:space="preserve">lexidy.com</t>
  </si>
  <si>
    <t xml:space="preserve">Fieldfisher Portugal</t>
  </si>
  <si>
    <t xml:space="preserve">Equipa com advogados francófonos em imobiliário</t>
  </si>
  <si>
    <t xml:space="preserve">Sócio imobiliário</t>
  </si>
  <si>
    <t xml:space="preserve">fieldfisher.com/pt-pt</t>
  </si>
  <si>
    <t xml:space="preserve">CCA Law Firm</t>
  </si>
  <si>
    <t xml:space="preserve">Clientes estrangeiros, residência e imobiliário</t>
  </si>
  <si>
    <t xml:space="preserve">cca.law</t>
  </si>
  <si>
    <t xml:space="preserve">Portugal Residency Advisors</t>
  </si>
  <si>
    <t xml:space="preserve">Consultoria de residência e imobiliário para brasileiros</t>
  </si>
  <si>
    <t xml:space="preserve">portugalresidencyadvisors.com</t>
  </si>
  <si>
    <t xml:space="preserve">Global Citizen Solutions</t>
  </si>
  <si>
    <t xml:space="preserve">Consultoria de residência e investimento</t>
  </si>
  <si>
    <t xml:space="preserve">globalcitizensolutions.com</t>
  </si>
  <si>
    <t xml:space="preserve">Atlantic Bridge</t>
  </si>
  <si>
    <t xml:space="preserve">Consultoria para brasileiros que se mudam para Portugal</t>
  </si>
  <si>
    <t xml:space="preserve">atlanticbridge.com.br</t>
  </si>
  <si>
    <t xml:space="preserve">Cidadania e Visto</t>
  </si>
  <si>
    <t xml:space="preserve">Assessoria de vistos e cidadania para brasileiros</t>
  </si>
  <si>
    <t xml:space="preserve">cidadaniaevisto.com.br</t>
  </si>
  <si>
    <t xml:space="preserve">Portugal Homes</t>
  </si>
  <si>
    <t xml:space="preserve">Destaques</t>
  </si>
  <si>
    <t xml:space="preserve">Agência focada em compradores internacionais</t>
  </si>
  <si>
    <t xml:space="preserve">portugalhomes.com</t>
  </si>
  <si>
    <t xml:space="preserve">Zome</t>
  </si>
  <si>
    <t xml:space="preserve">Rede forte no Norte</t>
  </si>
  <si>
    <t xml:space="preserve">zome.pt</t>
  </si>
  <si>
    <t xml:space="preserve">Engel &amp; Völkers Portugal</t>
  </si>
  <si>
    <t xml:space="preserve">CH, LU</t>
  </si>
  <si>
    <t xml:space="preserve">Segmento alto, compradores suíços e alemães</t>
  </si>
  <si>
    <t xml:space="preserve">engelvoelkers.com/pt</t>
  </si>
  <si>
    <t xml:space="preserve">Portugal Sotheby's International Realty</t>
  </si>
  <si>
    <t xml:space="preserve">CH, BR</t>
  </si>
  <si>
    <t xml:space="preserve">Luxo, compradores internacionais</t>
  </si>
  <si>
    <t xml:space="preserve">portugalsir.com</t>
  </si>
  <si>
    <t xml:space="preserve">Banco BPI</t>
  </si>
  <si>
    <t xml:space="preserve">Crédito habitação a não residentes</t>
  </si>
  <si>
    <t xml:space="preserve">Marketing particulares</t>
  </si>
  <si>
    <t xml:space="preserve">bancobpi.pt</t>
  </si>
  <si>
    <t xml:space="preserve">Santander Portugal</t>
  </si>
  <si>
    <t xml:space="preserve">santander.pt</t>
  </si>
  <si>
    <t xml:space="preserve">Bankinter Portugal</t>
  </si>
  <si>
    <t xml:space="preserve">Crédito habitação, forte em clientes internacionais</t>
  </si>
  <si>
    <t xml:space="preserve">bankinter.pt</t>
  </si>
  <si>
    <t xml:space="preserve">Crédito Agrícola</t>
  </si>
  <si>
    <t xml:space="preserve">Forte no interior e no Norte, de onde vêm muitos emigrantes</t>
  </si>
  <si>
    <t xml:space="preserve">creditoagricola.pt</t>
  </si>
  <si>
    <t xml:space="preserve">Banco do Brasil (Portugal)</t>
  </si>
  <si>
    <t xml:space="preserve">Sucursal em Portugal para clientes brasileiros</t>
  </si>
  <si>
    <t xml:space="preserve">Gerência Portugal</t>
  </si>
  <si>
    <t xml:space="preserve">bb.com.br</t>
  </si>
  <si>
    <t xml:space="preserve">ComparaJá</t>
  </si>
  <si>
    <t xml:space="preserve">Comparador e intermediário de crédito</t>
  </si>
  <si>
    <t xml:space="preserve">Parcerias</t>
  </si>
  <si>
    <t xml:space="preserve">comparaja.pt</t>
  </si>
  <si>
    <t xml:space="preserve">Decisões e Soluções</t>
  </si>
  <si>
    <t xml:space="preserve">Rede de intermediação de crédito e imobiliária</t>
  </si>
  <si>
    <t xml:space="preserve">Marketing / Franchising</t>
  </si>
  <si>
    <t xml:space="preserve">decisoesesolucoes.com</t>
  </si>
  <si>
    <t xml:space="preserve">Moneycorp</t>
  </si>
  <si>
    <t xml:space="preserve">Câmbio para compradores de imóveis</t>
  </si>
  <si>
    <t xml:space="preserve">moneycorp.com</t>
  </si>
  <si>
    <t xml:space="preserve">Bleap</t>
  </si>
  <si>
    <t xml:space="preserve">Fintech com guia de envio de dinheiro Brasil–Portugal</t>
  </si>
  <si>
    <t xml:space="preserve">bleap.finance</t>
  </si>
  <si>
    <t xml:space="preserve">Remessa Online</t>
  </si>
  <si>
    <t xml:space="preserve">Remessas internacionais a partir do Brasil</t>
  </si>
  <si>
    <t xml:space="preserve">remessaonline.com.br</t>
  </si>
  <si>
    <t xml:space="preserve">Nomad</t>
  </si>
  <si>
    <t xml:space="preserve">Conta global para brasileiros</t>
  </si>
  <si>
    <t xml:space="preserve">nomadglobal.com</t>
  </si>
  <si>
    <t xml:space="preserve">VZ VermögensZentrum</t>
  </si>
  <si>
    <t xml:space="preserve">Aconselhamento de pensões e reforma na Suíça</t>
  </si>
  <si>
    <t xml:space="preserve">vermoegenszentrum.ch</t>
  </si>
  <si>
    <t xml:space="preserve">CRN Contabilidade</t>
  </si>
  <si>
    <t xml:space="preserve">Serviço de representante fiscal para não residentes</t>
  </si>
  <si>
    <t xml:space="preserve">Gerência</t>
  </si>
  <si>
    <t xml:space="preserve">crncontabilidade.pt</t>
  </si>
  <si>
    <t xml:space="preserve">Taxx</t>
  </si>
  <si>
    <t xml:space="preserve">Declarações de impostos no Luxemburgo</t>
  </si>
  <si>
    <t xml:space="preserve">taxx.lu</t>
  </si>
  <si>
    <t xml:space="preserve">GuestReady</t>
  </si>
  <si>
    <t xml:space="preserve">Gere alojamento local para proprietários que vivem fora</t>
  </si>
  <si>
    <t xml:space="preserve">guestready.com</t>
  </si>
  <si>
    <t xml:space="preserve">Feels Like Home</t>
  </si>
  <si>
    <t xml:space="preserve">Gestão de alojamento local em Lisboa e Porto</t>
  </si>
  <si>
    <t xml:space="preserve">feelslikehome.pt</t>
  </si>
  <si>
    <t xml:space="preserve">Altido</t>
  </si>
  <si>
    <t xml:space="preserve">Gestão de alojamento local</t>
  </si>
  <si>
    <t xml:space="preserve">altido.com</t>
  </si>
  <si>
    <t xml:space="preserve">Eurosender</t>
  </si>
  <si>
    <t xml:space="preserve">CH, LU, FR</t>
  </si>
  <si>
    <t xml:space="preserve">Mudanças e envios entre a Suíça, o Luxemburgo e Portugal</t>
  </si>
  <si>
    <t xml:space="preserve">eurosender.com</t>
  </si>
  <si>
    <t xml:space="preserve">TAP Air Portugal</t>
  </si>
  <si>
    <t xml:space="preserve">A diáspora é um dos seus mercados principais</t>
  </si>
  <si>
    <t xml:space="preserve">flytap.com</t>
  </si>
  <si>
    <t xml:space="preserve">Fixando</t>
  </si>
  <si>
    <t xml:space="preserve">Encontra profissionais de obras à distância</t>
  </si>
  <si>
    <t xml:space="preserve">fixando.pt</t>
  </si>
  <si>
    <t xml:space="preserve">Zaask</t>
  </si>
  <si>
    <t xml:space="preserve">Marketplace de serviços para casa</t>
  </si>
  <si>
    <t xml:space="preserve">zaask.pt</t>
  </si>
  <si>
    <t xml:space="preserve">Avenue</t>
  </si>
  <si>
    <t xml:space="preserve">Promotor residencial em Lisboa e Porto</t>
  </si>
  <si>
    <t xml:space="preserve">avenue.pt</t>
  </si>
  <si>
    <t xml:space="preserve">Habitat Invest</t>
  </si>
  <si>
    <t xml:space="preserve">Promotor residencial</t>
  </si>
  <si>
    <t xml:space="preserve">habitatinvest.pt</t>
  </si>
  <si>
    <t xml:space="preserve">Libertas</t>
  </si>
  <si>
    <t xml:space="preserve">Promotor histórico com obra em Lisboa e Porto</t>
  </si>
  <si>
    <t xml:space="preserve">libertas.pt</t>
  </si>
  <si>
    <t xml:space="preserve">Ombria Algarve</t>
  </si>
  <si>
    <t xml:space="preserve">Resort residencial no Algarve</t>
  </si>
  <si>
    <t xml:space="preserve">ombria.com</t>
  </si>
  <si>
    <t xml:space="preserve">Krest Real Estate</t>
  </si>
  <si>
    <t xml:space="preserve">Promotor residencial em Lisboa</t>
  </si>
  <si>
    <t xml:space="preserve">krest.pt</t>
  </si>
  <si>
    <t xml:space="preserve">Pestana Residences</t>
  </si>
  <si>
    <t xml:space="preserve">Residências turísticas no Algarve e na Madeira</t>
  </si>
  <si>
    <t xml:space="preserve">pestana.com</t>
  </si>
  <si>
    <t xml:space="preserve">Fidelidade</t>
  </si>
  <si>
    <t xml:space="preserve">Seguro de casa e de vida associado ao crédito</t>
  </si>
  <si>
    <t xml:space="preserve">fidelidade.pt</t>
  </si>
  <si>
    <t xml:space="preserve">Telles</t>
  </si>
  <si>
    <t xml:space="preserve">Escritório Porto/Lisboa com prática imobiliária</t>
  </si>
  <si>
    <t xml:space="preserve">Business development</t>
  </si>
  <si>
    <t xml:space="preserve">telles.pt</t>
  </si>
  <si>
    <t xml:space="preserve">SRS Legal</t>
  </si>
  <si>
    <t xml:space="preserve">Prática imobiliária e clientes internacionais</t>
  </si>
  <si>
    <t xml:space="preserve">srslegal.pt</t>
  </si>
  <si>
    <t xml:space="preserve">Abreu Advogados</t>
  </si>
  <si>
    <t xml:space="preserve">Desk dedicado ao Brasil</t>
  </si>
  <si>
    <t xml:space="preserve">abreuadvogados.com</t>
  </si>
  <si>
    <t xml:space="preserve">Carlos Mafra de Laet Advogados</t>
  </si>
  <si>
    <t xml:space="preserve">Bronze</t>
  </si>
  <si>
    <t xml:space="preserve">Escritório brasileiro com desk em Paris (informação de 2012)</t>
  </si>
  <si>
    <t xml:space="preserve">Portugal House</t>
  </si>
  <si>
    <t xml:space="preserve">Serviços para quem quer investir em Portugal (informação de 2018)</t>
  </si>
  <si>
    <t xml:space="preserve">Cidadania4u</t>
  </si>
  <si>
    <t xml:space="preserve">Cidadania portuguesa para brasileiros</t>
  </si>
  <si>
    <t xml:space="preserve">cidadania4u.com.br</t>
  </si>
  <si>
    <t xml:space="preserve">RE/MAX Portugal</t>
  </si>
  <si>
    <t xml:space="preserve">Maior rede do país; agências individuais compram destaque</t>
  </si>
  <si>
    <t xml:space="preserve">Diretor de agência</t>
  </si>
  <si>
    <t xml:space="preserve">remax.pt</t>
  </si>
  <si>
    <t xml:space="preserve">ERA Portugal</t>
  </si>
  <si>
    <t xml:space="preserve">Rede nacional</t>
  </si>
  <si>
    <t xml:space="preserve">era.pt</t>
  </si>
  <si>
    <t xml:space="preserve">Century 21 Portugal</t>
  </si>
  <si>
    <t xml:space="preserve">century21.pt</t>
  </si>
  <si>
    <t xml:space="preserve">KW Portugal</t>
  </si>
  <si>
    <t xml:space="preserve">Rede nacional de consultores</t>
  </si>
  <si>
    <t xml:space="preserve">Market center</t>
  </si>
  <si>
    <t xml:space="preserve">kwportugal.pt</t>
  </si>
  <si>
    <t xml:space="preserve">Banco Montepio</t>
  </si>
  <si>
    <t xml:space="preserve">Crédito habitação; clientes emigrantes</t>
  </si>
  <si>
    <t xml:space="preserve">bancomontepio.pt</t>
  </si>
  <si>
    <t xml:space="preserve">Spuerkeess (BCEE)</t>
  </si>
  <si>
    <t xml:space="preserve">Maior banco de retalho do Luxemburgo; muitos clientes portugueses</t>
  </si>
  <si>
    <t xml:space="preserve">spuerkeess.lu</t>
  </si>
  <si>
    <t xml:space="preserve">BGL BNP Paribas</t>
  </si>
  <si>
    <t xml:space="preserve">Banco de retalho no Luxemburgo</t>
  </si>
  <si>
    <t xml:space="preserve">bgl.lu</t>
  </si>
  <si>
    <t xml:space="preserve">ING Luxembourg</t>
  </si>
  <si>
    <t xml:space="preserve">ing.lu</t>
  </si>
  <si>
    <t xml:space="preserve">Banque Raiffeisen</t>
  </si>
  <si>
    <t xml:space="preserve">Banco cooperativo no Luxemburgo</t>
  </si>
  <si>
    <t xml:space="preserve">raiffeisen.lu</t>
  </si>
  <si>
    <t xml:space="preserve">Cafpi</t>
  </si>
  <si>
    <t xml:space="preserve">Corretor de crédito em França; publica taxas do Banque BCP</t>
  </si>
  <si>
    <t xml:space="preserve">cafpi.fr</t>
  </si>
  <si>
    <t xml:space="preserve">Empruntis</t>
  </si>
  <si>
    <t xml:space="preserve">Corretor de crédito em França</t>
  </si>
  <si>
    <t xml:space="preserve">empruntis.com</t>
  </si>
  <si>
    <t xml:space="preserve">Meilleurtaux</t>
  </si>
  <si>
    <t xml:space="preserve">Maior corretor de crédito em França</t>
  </si>
  <si>
    <t xml:space="preserve">meilleurtaux.com</t>
  </si>
  <si>
    <t xml:space="preserve">PostFinance</t>
  </si>
  <si>
    <t xml:space="preserve">Banco muito usado pela comunidade portuguesa na Suíça</t>
  </si>
  <si>
    <t xml:space="preserve">postfinance.ch</t>
  </si>
  <si>
    <t xml:space="preserve">Raiffeisen Suíça</t>
  </si>
  <si>
    <t xml:space="preserve">Banco cooperativo com forte presença regional na Suíça</t>
  </si>
  <si>
    <t xml:space="preserve">raiffeisen.ch</t>
  </si>
  <si>
    <t xml:space="preserve">Revolut</t>
  </si>
  <si>
    <t xml:space="preserve">Conta e câmbio usados por emigrantes</t>
  </si>
  <si>
    <t xml:space="preserve">Programa de afiliados</t>
  </si>
  <si>
    <t xml:space="preserve">revolut.com</t>
  </si>
  <si>
    <t xml:space="preserve">C6 Bank</t>
  </si>
  <si>
    <t xml:space="preserve">Conta global em euros para brasileiros</t>
  </si>
  <si>
    <t xml:space="preserve">c6bank.com.br</t>
  </si>
  <si>
    <t xml:space="preserve">Banco Inter</t>
  </si>
  <si>
    <t xml:space="preserve">bancointer.com.br</t>
  </si>
  <si>
    <t xml:space="preserve">XP Investimentos</t>
  </si>
  <si>
    <t xml:space="preserve">Investidores brasileiros a diversificar em euros</t>
  </si>
  <si>
    <t xml:space="preserve">Marketing internacional</t>
  </si>
  <si>
    <t xml:space="preserve">xpi.com.br</t>
  </si>
  <si>
    <t xml:space="preserve">Swiss Life</t>
  </si>
  <si>
    <t xml:space="preserve">Pensões e seguros na Suíça</t>
  </si>
  <si>
    <t xml:space="preserve">swisslife.ch</t>
  </si>
  <si>
    <t xml:space="preserve">Uniplaces</t>
  </si>
  <si>
    <t xml:space="preserve">Arrendamento a estudantes para quem compra para arrendar</t>
  </si>
  <si>
    <t xml:space="preserve">uniplaces.com</t>
  </si>
  <si>
    <t xml:space="preserve">AGS Four Winds</t>
  </si>
  <si>
    <t xml:space="preserve">Mudanças internacionais</t>
  </si>
  <si>
    <t xml:space="preserve">Comercial Portugal</t>
  </si>
  <si>
    <t xml:space="preserve">agsmovers.com</t>
  </si>
  <si>
    <t xml:space="preserve">Allied Pickfords</t>
  </si>
  <si>
    <t xml:space="preserve">alliedpickfords.com</t>
  </si>
  <si>
    <t xml:space="preserve">Just Arrived</t>
  </si>
  <si>
    <t xml:space="preserve">Relocalização no Luxemburgo, com rede de empresas de mudanças</t>
  </si>
  <si>
    <t xml:space="preserve">justarrived.lu</t>
  </si>
  <si>
    <t xml:space="preserve">Internorte</t>
  </si>
  <si>
    <t xml:space="preserve">Autocarros Portugal–França/Luxemburgo/Suíça usados por emigrantes</t>
  </si>
  <si>
    <t xml:space="preserve">internorte.pt</t>
  </si>
  <si>
    <t xml:space="preserve">Leroy Merlin Portugal</t>
  </si>
  <si>
    <t xml:space="preserve">Materiais e serviços de remodelação</t>
  </si>
  <si>
    <t xml:space="preserve">leroymerlin.pt</t>
  </si>
  <si>
    <t xml:space="preserve">IKEA Portugal</t>
  </si>
  <si>
    <t xml:space="preserve">Mobilar a casa nova</t>
  </si>
  <si>
    <t xml:space="preserve">ikea.com/pt</t>
  </si>
  <si>
    <t xml:space="preserve">Galp Solar</t>
  </si>
  <si>
    <t xml:space="preserve">Painéis solares para a casa</t>
  </si>
  <si>
    <t xml:space="preserve">galp.com</t>
  </si>
  <si>
    <t xml:space="preserve">EDP Comercial</t>
  </si>
  <si>
    <t xml:space="preserve">Solar e energia para a casa</t>
  </si>
  <si>
    <t xml:space="preserve">edp.pt</t>
  </si>
  <si>
    <t xml:space="preserve">NOS</t>
  </si>
  <si>
    <t xml:space="preserve">Internet e TV na casa nova</t>
  </si>
  <si>
    <t xml:space="preserve">nos.pt</t>
  </si>
  <si>
    <t xml:space="preserve">MEO</t>
  </si>
  <si>
    <t xml:space="preserve">meo.pt</t>
  </si>
  <si>
    <t xml:space="preserve">Generali Tranquilidade</t>
  </si>
  <si>
    <t xml:space="preserve">Seguro de casa</t>
  </si>
  <si>
    <t xml:space="preserve">tranquilidade.pt</t>
  </si>
  <si>
    <t xml:space="preserve">Ageas Portugal</t>
  </si>
  <si>
    <t xml:space="preserve">Seguro de casa e vida</t>
  </si>
  <si>
    <t xml:space="preserve">ageas.pt</t>
  </si>
  <si>
    <t xml:space="preserve">Allianz Portugal</t>
  </si>
  <si>
    <t xml:space="preserve">allianz.pt</t>
  </si>
  <si>
    <t xml:space="preserve">Foyer</t>
  </si>
  <si>
    <t xml:space="preserve">Maior seguradora do Luxemburgo</t>
  </si>
  <si>
    <t xml:space="preserve">foyer.lu</t>
  </si>
  <si>
    <t xml:space="preserve">Lalux</t>
  </si>
  <si>
    <t xml:space="preserve">Seguradora luxemburguesa</t>
  </si>
  <si>
    <t xml:space="preserve">lalux.lu</t>
  </si>
  <si>
    <t xml:space="preserve">Preencher: colunas Estado (lista), Quem contacta e Notas. Prioridade 1 = contactar nas 2 primeiras semanas. 'Conhecida — confirmar contacto' = empresa real, falta confirmar a pessoa certa no LinkedIn ou no site.</t>
  </si>
  <si>
    <t xml:space="preserve">Porque nos pagam</t>
  </si>
  <si>
    <t xml:space="preserve">Melhor maneira de contactar</t>
  </si>
  <si>
    <t xml:space="preserve">Pacote</t>
  </si>
  <si>
    <t xml:space="preserve">Nota</t>
  </si>
  <si>
    <t xml:space="preserve">O crédito é o maior produto de cada compra. Os bancos portugueses com presença em França, Luxemburgo e Suíça já procuram este cliente.</t>
  </si>
  <si>
    <t xml:space="preserve">Responsável de marketing ou do segmento 'residentes no estrangeiro'; em França, também os diretores de agência.</t>
  </si>
  <si>
    <t xml:space="preserve">LinkedIn primeiro, depois email institucional. Ciclo longo (2 a 3 meses): propor um piloto de 3 meses numa só edição.</t>
  </si>
  <si>
    <t xml:space="preserve">Gold 8.000–12.000 €/ano</t>
  </si>
  <si>
    <t xml:space="preserve">Têm orçamento, mas decidem devagar. Começar pelos intermediários de crédito, que decidem em dias.</t>
  </si>
  <si>
    <t xml:space="preserve">Quem compra com francos ou reais transfere centenas de milhares de euros. Cada cliente vale muito.</t>
  </si>
  <si>
    <t xml:space="preserve">Partnerships / affiliates.</t>
  </si>
  <si>
    <t xml:space="preserve">Muitos têm programas de afiliados ou de introdutores: inscrever primeiro (receita por cliente), depois propor patrocínio.</t>
  </si>
  <si>
    <t xml:space="preserve">Gold, ou comissão por cliente</t>
  </si>
  <si>
    <t xml:space="preserve">Edições CH e BR são as mais valiosas para eles.</t>
  </si>
  <si>
    <t xml:space="preserve">Cada compra precisa de escritura, procuração, partilhas ou visto. Um cliente vale milhares em honorários.</t>
  </si>
  <si>
    <t xml:space="preserve">Sócio de imobiliário ou responsável de business development. Nos pequenos, o fundador.</t>
  </si>
  <si>
    <t xml:space="preserve">Email curto + LinkedIn ao sócio. Oferecer a coluna 'Pergunte ao advogado' e exclusividade de categoria.</t>
  </si>
  <si>
    <t xml:space="preserve">Gold 8.000–12.000 €/ano ou Silver</t>
  </si>
  <si>
    <t xml:space="preserve">Decidem rápido. Confirmar regras de publicidade da Ordem dos Advogados para o formato (EOA, art. 94.º).</t>
  </si>
  <si>
    <t xml:space="preserve">Impostos de não residente, rendas, regresso e levantamento do 2.º pilar suíço: dúvidas recorrentes todos os anos.</t>
  </si>
  <si>
    <t xml:space="preserve">Fundador ou marketing.</t>
  </si>
  <si>
    <t xml:space="preserve">Email com um artigo-amostra sobre o tema deles.</t>
  </si>
  <si>
    <t xml:space="preserve">Silver; Gold para pensões na Suíça</t>
  </si>
  <si>
    <t xml:space="preserve">O 2.º pilar suíço é o tema mais forte da edição CH.</t>
  </si>
  <si>
    <t xml:space="preserve">Precisam de vender frações a estrangeiros e já pagam campanhas.</t>
  </si>
  <si>
    <t xml:space="preserve">Diretor comercial ou de marketing.</t>
  </si>
  <si>
    <t xml:space="preserve">LinkedIn + email com proposta de campanha para um empreendimento concreto.</t>
  </si>
  <si>
    <t xml:space="preserve">Campanha a partir de 1.500 €</t>
  </si>
  <si>
    <t xml:space="preserve">Pagam por campanha, não por ano. Bons para receita rápida.</t>
  </si>
  <si>
    <t xml:space="preserve">Destaque dos imóveis junto de compradores que vivem fora.</t>
  </si>
  <si>
    <t xml:space="preserve">Diretor de agência ou fundador.</t>
  </si>
  <si>
    <t xml:space="preserve">Email + chamada. Nas redes (RE/MAX, ERA), falar com cada agência, não com a central.</t>
  </si>
  <si>
    <t xml:space="preserve">Destaques 49–99 €/imóvel/mês</t>
  </si>
  <si>
    <t xml:space="preserve">Atenção ao conflito com a agência parceira: definir quem recebe os pedidos.</t>
  </si>
  <si>
    <t xml:space="preserve">Seguro de casa e de vida em cada compra com crédito.</t>
  </si>
  <si>
    <t xml:space="preserve">Marketing.</t>
  </si>
  <si>
    <t xml:space="preserve">LinkedIn.</t>
  </si>
  <si>
    <t xml:space="preserve">Prioridade baixa: decidem devagar e os mediadores já os vendem.</t>
  </si>
  <si>
    <t xml:space="preserve">Quem compra e ainda vive fora precisa de alguém que gira a casa.</t>
  </si>
  <si>
    <t xml:space="preserve">Partnerships ou fundador.</t>
  </si>
  <si>
    <t xml:space="preserve">Email.</t>
  </si>
  <si>
    <t xml:space="preserve">Muitas têm programas de referência.</t>
  </si>
  <si>
    <t xml:space="preserve">Quem herda ou compra casa antiga precisa de a recuperar à distância.</t>
  </si>
  <si>
    <t xml:space="preserve">Silver / Bronze</t>
  </si>
  <si>
    <t xml:space="preserve">Fixando e Zaask são os mais alinhados.</t>
  </si>
  <si>
    <t xml:space="preserve">Quem regressa leva a casa inteira; a TAP vive da diáspora.</t>
  </si>
  <si>
    <t xml:space="preserve">Marketing ou comercial.</t>
  </si>
  <si>
    <t xml:space="preserve">Email; TAP por LinkedIn.</t>
  </si>
  <si>
    <t xml:space="preserve">Bronze; Gold para a TAP</t>
  </si>
  <si>
    <t xml:space="preserve">A TAP é difícil, mas um contrato dá credibilidade a todos os outros.</t>
  </si>
  <si>
    <t xml:space="preserve">Sequência</t>
  </si>
  <si>
    <t xml:space="preserve">Dia 0</t>
  </si>
  <si>
    <t xml:space="preserve">Email curto à pessoa certa (ou ao email geral, se não houver).</t>
  </si>
  <si>
    <t xml:space="preserve">Dia 2</t>
  </si>
  <si>
    <t xml:space="preserve">Pedido de ligação no LinkedIn, sem pitch, só uma frase.</t>
  </si>
  <si>
    <t xml:space="preserve">Dia 5</t>
  </si>
  <si>
    <t xml:space="preserve">Follow-up de duas linhas no mesmo email.</t>
  </si>
  <si>
    <t xml:space="preserve">Dia 9</t>
  </si>
  <si>
    <t xml:space="preserve">Último follow-up com uma data concreta para chamada. Se não responder, marcar 'Recusou' e voltar daqui a 3 meses.</t>
  </si>
  <si>
    <t xml:space="preserve">Ritmo</t>
  </si>
  <si>
    <t xml:space="preserve">40 contactos novos por semana nas primeiras 6 semanas. Prioridade 1 primeiro.</t>
  </si>
  <si>
    <t xml:space="preserve">RGPD</t>
  </si>
  <si>
    <t xml:space="preserve">Usar emails profissionais ou gerais da empresa. Cada email termina com uma linha para a pessoa dizer que não quer ser contactada. Interesse legítimo (RGPD, art. 6.º, n.º 1, al. f)).</t>
  </si>
  <si>
    <t xml:space="preserve">Email PT</t>
  </si>
  <si>
    <t xml:space="preserve">Assunto</t>
  </si>
  <si>
    <t xml:space="preserve">Leitores em [país] a comprar casa em Portugal</t>
  </si>
  <si>
    <t xml:space="preserve">Corpo</t>
  </si>
  <si>
    <t xml:space="preserve">Olá [Nome],
Lançamos em janeiro o Imóveis Portugal, um guia com edições no Luxemburgo, em França, na Suíça e no Brasil para quem vive fora e quer comprar casa em Portugal. Falamos de custos reais, crédito, impostos e regresso, com uma newsletter semanal por país.
Estamos a escolher um parceiro por categoria e pensámos na [Empresa] para [categoria]. Os primeiros dez parceiros têm 40% de desconto no primeiro ano e o preço fica fixo no segundo.
Tem 15 minutos na próxima semana para lhe mostrar o formato?
Obrigado,
[Nome]
Parcerias · Imóveis Portugal
Se preferir não receber mais emails nossos, basta responder a dizer.</t>
  </si>
  <si>
    <t xml:space="preserve">Follow-up PT</t>
  </si>
  <si>
    <t xml:space="preserve">Olá [Nome], volto só a este email. Ainda temos lugar para [categoria] na edição de [país]. Faz sentido falarmos na [dia]?</t>
  </si>
  <si>
    <t xml:space="preserve">Email FR</t>
  </si>
  <si>
    <t xml:space="preserve">Objet</t>
  </si>
  <si>
    <t xml:space="preserve">Lecteurs en France qui achètent au Portugal</t>
  </si>
  <si>
    <t xml:space="preserve">Corps</t>
  </si>
  <si>
    <t xml:space="preserve">Bonjour [Prénom],
Nous lançons en janvier Imóveis Portugal, un guide avec des éditions au Luxembourg, en France, en Suisse et au Brésil pour ceux qui vivent à l'étranger et veulent acheter au Portugal : coûts réels, crédit, fiscalité et retour, avec une newsletter hebdomadaire par pays.
Nous choisissons un partenaire par catégorie et avons pensé à [Entreprise] pour [catégorie]. Les dix premiers partenaires ont 40 % de remise la première année et un prix bloqué la deuxième.
Auriez-vous 15 minutes la semaine prochaine pour que je vous montre le format ?
Merci,
[Prénom]
Partenariats · Imóveis Portugal
Si vous préférez ne plus recevoir nos messages, il suffit de répondre.</t>
  </si>
  <si>
    <t xml:space="preserve">Organização</t>
  </si>
  <si>
    <t xml:space="preserve">Para que serve</t>
  </si>
  <si>
    <t xml:space="preserve">Chambre de Commerce Luxembourg</t>
  </si>
  <si>
    <t xml:space="preserve">Organiza o Luxembourg–Portugal Business Forum; acesso a empresas</t>
  </si>
  <si>
    <t xml:space="preserve">cc.lu</t>
  </si>
  <si>
    <t xml:space="preserve">CCIFP — Câmara de Comércio Franco-Portuguesa</t>
  </si>
  <si>
    <t xml:space="preserve">Rede de empresas franco-portuguesas</t>
  </si>
  <si>
    <t xml:space="preserve">ccifp.fr</t>
  </si>
  <si>
    <t xml:space="preserve">Cap Magellan</t>
  </si>
  <si>
    <t xml:space="preserve">Associação de jovens lusodescendentes em França; divulgação</t>
  </si>
  <si>
    <t xml:space="preserve">capmagellan.com</t>
  </si>
  <si>
    <t xml:space="preserve">LusoJornal</t>
  </si>
  <si>
    <t xml:space="preserve">Jornal da comunidade em França; troca de conteúdo</t>
  </si>
  <si>
    <t xml:space="preserve">lusojornal.com</t>
  </si>
  <si>
    <t xml:space="preserve">Contacto</t>
  </si>
  <si>
    <t xml:space="preserve">Jornal da comunidade no Luxemburgo; troca de conteúdo</t>
  </si>
  <si>
    <t xml:space="preserve">contacto.lu</t>
  </si>
  <si>
    <t xml:space="preserve">Rádio Latina</t>
  </si>
  <si>
    <t xml:space="preserve">Rádio em português no Luxemburgo; divulgação</t>
  </si>
  <si>
    <t xml:space="preserve">radiolatina.lu</t>
  </si>
  <si>
    <t xml:space="preserve">Eurodicas</t>
  </si>
  <si>
    <t xml:space="preserve">Site brasileiro sobre vida na Europa; troca de conteúdo</t>
  </si>
  <si>
    <t xml:space="preserve">eurodicas.com.br</t>
  </si>
  <si>
    <t xml:space="preserve">Não são sponsors: dão acesso a empresas, divulgação ou troca de conteúdo.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</si>
</sst>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D6672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202C"/>
        <bgColor rgb="FF003300"/>
      </patternFill>
    </fill>
    <fill>
      <patternFill patternType="solid">
        <fgColor rgb="FFD6E4EF"/>
        <bgColor rgb="FFDFE3E8"/>
      </patternFill>
    </fill>
    <fill>
      <patternFill patternType="solid">
        <fgColor rgb="FFEEF3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FE3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620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4EF"/>
          <bgColor rgb="FF000000"/>
        </patternFill>
      </fill>
    </dxf>
    <dxf>
      <fill>
        <patternFill patternType="solid">
          <fgColor rgb="FFEEF3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7"/>
      <rgbColor rgb="FFDFE3E8"/>
      <rgbColor rgb="FF660066"/>
      <rgbColor rgb="FFFF8080"/>
      <rgbColor rgb="FF0066CC"/>
      <rgbColor rgb="FFD6E4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6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3" t="n">
        <f aca="false">COUNTIF('Lista 100'!$C$2:$C$101,A4)</f>
        <v>22</v>
      </c>
      <c r="C4" s="3" t="n">
        <f aca="false">COUNTIFS('Lista 100'!$C$2:$C$101,A4,'Lista 100'!$E$2:$E$101,1)</f>
        <v>5</v>
      </c>
      <c r="D4" s="3" t="n">
        <f aca="false">COUNTIFS('Lista 100'!$C$2:$C$101,A4,'Lista 100'!$L$2:$L$101,"Fechado")</f>
        <v>0</v>
      </c>
    </row>
    <row r="5" customFormat="false" ht="15" hidden="false" customHeight="false" outlineLevel="0" collapsed="false">
      <c r="A5" s="3" t="s">
        <v>6</v>
      </c>
      <c r="B5" s="3" t="n">
        <f aca="false">COUNTIF('Lista 100'!$C$2:$C$101,A5)</f>
        <v>11</v>
      </c>
      <c r="C5" s="3" t="n">
        <f aca="false">COUNTIFS('Lista 100'!$C$2:$C$101,A5,'Lista 100'!$E$2:$E$101,1)</f>
        <v>3</v>
      </c>
      <c r="D5" s="3" t="n">
        <f aca="false">COUNTIFS('Lista 100'!$C$2:$C$101,A5,'Lista 100'!$L$2:$L$101,"Fechado")</f>
        <v>0</v>
      </c>
    </row>
    <row r="6" customFormat="false" ht="15" hidden="false" customHeight="false" outlineLevel="0" collapsed="false">
      <c r="A6" s="3" t="s">
        <v>7</v>
      </c>
      <c r="B6" s="3" t="n">
        <f aca="false">COUNTIF('Lista 100'!$C$2:$C$101,A6)</f>
        <v>19</v>
      </c>
      <c r="C6" s="3" t="n">
        <f aca="false">COUNTIFS('Lista 100'!$C$2:$C$101,A6,'Lista 100'!$E$2:$E$101,1)</f>
        <v>6</v>
      </c>
      <c r="D6" s="3" t="n">
        <f aca="false">COUNTIFS('Lista 100'!$C$2:$C$101,A6,'Lista 100'!$L$2:$L$101,"Fechado")</f>
        <v>0</v>
      </c>
    </row>
    <row r="7" customFormat="false" ht="15" hidden="false" customHeight="false" outlineLevel="0" collapsed="false">
      <c r="A7" s="3" t="s">
        <v>8</v>
      </c>
      <c r="B7" s="3" t="n">
        <f aca="false">COUNTIF('Lista 100'!$C$2:$C$101,A7)</f>
        <v>5</v>
      </c>
      <c r="C7" s="3" t="n">
        <f aca="false">COUNTIFS('Lista 100'!$C$2:$C$101,A7,'Lista 100'!$E$2:$E$101,1)</f>
        <v>1</v>
      </c>
      <c r="D7" s="3" t="n">
        <f aca="false">COUNTIFS('Lista 100'!$C$2:$C$101,A7,'Lista 100'!$L$2:$L$101,"Fechado")</f>
        <v>0</v>
      </c>
    </row>
    <row r="8" customFormat="false" ht="15" hidden="false" customHeight="false" outlineLevel="0" collapsed="false">
      <c r="A8" s="3" t="s">
        <v>9</v>
      </c>
      <c r="B8" s="3" t="n">
        <f aca="false">COUNTIF('Lista 100'!$C$2:$C$101,A8)</f>
        <v>10</v>
      </c>
      <c r="C8" s="3" t="n">
        <f aca="false">COUNTIFS('Lista 100'!$C$2:$C$101,A8,'Lista 100'!$E$2:$E$101,1)</f>
        <v>4</v>
      </c>
      <c r="D8" s="3" t="n">
        <f aca="false">COUNTIFS('Lista 100'!$C$2:$C$101,A8,'Lista 100'!$L$2:$L$101,"Fechado")</f>
        <v>0</v>
      </c>
    </row>
    <row r="9" customFormat="false" ht="15" hidden="false" customHeight="false" outlineLevel="0" collapsed="false">
      <c r="A9" s="3" t="s">
        <v>10</v>
      </c>
      <c r="B9" s="3" t="n">
        <f aca="false">COUNTIF('Lista 100'!$C$2:$C$101,A9)</f>
        <v>9</v>
      </c>
      <c r="C9" s="3" t="n">
        <f aca="false">COUNTIFS('Lista 100'!$C$2:$C$101,A9,'Lista 100'!$E$2:$E$101,1)</f>
        <v>1</v>
      </c>
      <c r="D9" s="3" t="n">
        <f aca="false">COUNTIFS('Lista 100'!$C$2:$C$101,A9,'Lista 100'!$L$2:$L$101,"Fechado")</f>
        <v>0</v>
      </c>
    </row>
    <row r="10" customFormat="false" ht="15" hidden="false" customHeight="false" outlineLevel="0" collapsed="false">
      <c r="A10" s="3" t="s">
        <v>11</v>
      </c>
      <c r="B10" s="3" t="n">
        <f aca="false">COUNTIF('Lista 100'!$C$2:$C$101,A10)</f>
        <v>6</v>
      </c>
      <c r="C10" s="3" t="n">
        <f aca="false">COUNTIFS('Lista 100'!$C$2:$C$101,A10,'Lista 100'!$E$2:$E$101,1)</f>
        <v>0</v>
      </c>
      <c r="D10" s="3" t="n">
        <f aca="false">COUNTIFS('Lista 100'!$C$2:$C$101,A10,'Lista 100'!$L$2:$L$101,"Fechado")</f>
        <v>0</v>
      </c>
    </row>
    <row r="11" customFormat="false" ht="15" hidden="false" customHeight="false" outlineLevel="0" collapsed="false">
      <c r="A11" s="3" t="s">
        <v>12</v>
      </c>
      <c r="B11" s="3" t="n">
        <f aca="false">COUNTIF('Lista 100'!$C$2:$C$101,A11)</f>
        <v>4</v>
      </c>
      <c r="C11" s="3" t="n">
        <f aca="false">COUNTIFS('Lista 100'!$C$2:$C$101,A11,'Lista 100'!$E$2:$E$101,1)</f>
        <v>0</v>
      </c>
      <c r="D11" s="3" t="n">
        <f aca="false">COUNTIFS('Lista 100'!$C$2:$C$101,A11,'Lista 100'!$L$2:$L$101,"Fechado")</f>
        <v>0</v>
      </c>
    </row>
    <row r="12" customFormat="false" ht="15" hidden="false" customHeight="false" outlineLevel="0" collapsed="false">
      <c r="A12" s="3" t="s">
        <v>13</v>
      </c>
      <c r="B12" s="3" t="n">
        <f aca="false">COUNTIF('Lista 100'!$C$2:$C$101,A12)</f>
        <v>8</v>
      </c>
      <c r="C12" s="3" t="n">
        <f aca="false">COUNTIFS('Lista 100'!$C$2:$C$101,A12,'Lista 100'!$E$2:$E$101,1)</f>
        <v>0</v>
      </c>
      <c r="D12" s="3" t="n">
        <f aca="false">COUNTIFS('Lista 100'!$C$2:$C$101,A12,'Lista 100'!$L$2:$L$101,"Fechado")</f>
        <v>0</v>
      </c>
    </row>
    <row r="13" customFormat="false" ht="15" hidden="false" customHeight="false" outlineLevel="0" collapsed="false">
      <c r="A13" s="3" t="s">
        <v>14</v>
      </c>
      <c r="B13" s="3" t="n">
        <f aca="false">COUNTIF('Lista 100'!$C$2:$C$101,A13)</f>
        <v>6</v>
      </c>
      <c r="C13" s="3" t="n">
        <f aca="false">COUNTIFS('Lista 100'!$C$2:$C$101,A13,'Lista 100'!$E$2:$E$101,1)</f>
        <v>0</v>
      </c>
      <c r="D13" s="3" t="n">
        <f aca="false">COUNTIFS('Lista 100'!$C$2:$C$101,A13,'Lista 100'!$L$2:$L$101,"Fechado")</f>
        <v>0</v>
      </c>
    </row>
    <row r="14" customFormat="false" ht="15" hidden="false" customHeight="false" outlineLevel="0" collapsed="false">
      <c r="A14" s="4" t="s">
        <v>15</v>
      </c>
      <c r="B14" s="4" t="n">
        <f aca="false">SUM(B4:B13)</f>
        <v>100</v>
      </c>
      <c r="C14" s="4" t="n">
        <f aca="false">SUM(C4:C13)</f>
        <v>20</v>
      </c>
      <c r="D14" s="4" t="n">
        <f aca="false">SUM(D4:D13)</f>
        <v>0</v>
      </c>
    </row>
    <row r="15" customFormat="false" ht="15" hidden="false" customHeight="false" outlineLevel="0" collapsed="false">
      <c r="A15" s="3"/>
      <c r="B15" s="3"/>
      <c r="C15" s="3"/>
      <c r="D15" s="3"/>
    </row>
    <row r="16" customFormat="false" ht="15" hidden="false" customHeight="false" outlineLevel="0" collapsed="false">
      <c r="A16" s="2" t="s">
        <v>16</v>
      </c>
      <c r="B16" s="2" t="s">
        <v>17</v>
      </c>
      <c r="C16" s="3"/>
      <c r="D16" s="3"/>
    </row>
    <row r="17" customFormat="false" ht="15" hidden="false" customHeight="false" outlineLevel="0" collapsed="false">
      <c r="A17" s="3" t="s">
        <v>18</v>
      </c>
      <c r="B17" s="3" t="n">
        <f aca="false">SUMPRODUCT(--((ISNUMBER(SEARCH("LU",'Lista 100'!$D$2:$D$101))+ISNUMBER(SEARCH("Todas",'Lista 100'!$D$2:$D$101)))&gt;0))</f>
        <v>72</v>
      </c>
      <c r="C17" s="3"/>
      <c r="D17" s="3"/>
    </row>
    <row r="18" customFormat="false" ht="15" hidden="false" customHeight="false" outlineLevel="0" collapsed="false">
      <c r="A18" s="3" t="s">
        <v>19</v>
      </c>
      <c r="B18" s="3" t="n">
        <f aca="false">SUMPRODUCT(--((ISNUMBER(SEARCH("FR",'Lista 100'!$D$2:$D$101))+ISNUMBER(SEARCH("Todas",'Lista 100'!$D$2:$D$101)))&gt;0))</f>
        <v>66</v>
      </c>
      <c r="C18" s="3"/>
      <c r="D18" s="3"/>
    </row>
    <row r="19" customFormat="false" ht="15" hidden="false" customHeight="false" outlineLevel="0" collapsed="false">
      <c r="A19" s="3" t="s">
        <v>20</v>
      </c>
      <c r="B19" s="3" t="n">
        <f aca="false">SUMPRODUCT(--((ISNUMBER(SEARCH("CH",'Lista 100'!$D$2:$D$101))+ISNUMBER(SEARCH("Todas",'Lista 100'!$D$2:$D$101)))&gt;0))</f>
        <v>66</v>
      </c>
      <c r="C19" s="3"/>
      <c r="D19" s="3"/>
    </row>
    <row r="20" customFormat="false" ht="15" hidden="false" customHeight="false" outlineLevel="0" collapsed="false">
      <c r="A20" s="3" t="s">
        <v>21</v>
      </c>
      <c r="B20" s="3" t="n">
        <f aca="false">SUMPRODUCT(--((ISNUMBER(SEARCH("BR",'Lista 100'!$D$2:$D$101))+ISNUMBER(SEARCH("Todas",'Lista 100'!$D$2:$D$101)))&gt;0))</f>
        <v>69</v>
      </c>
      <c r="C20" s="3"/>
      <c r="D20" s="3"/>
    </row>
    <row r="21" customFormat="false" ht="15" hidden="false" customHeight="false" outlineLevel="0" collapsed="false">
      <c r="A21" s="3"/>
      <c r="B21" s="3"/>
      <c r="C21" s="3"/>
      <c r="D21" s="3"/>
    </row>
    <row r="22" customFormat="false" ht="15" hidden="false" customHeight="false" outlineLevel="0" collapsed="false">
      <c r="A22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52"/>
    <col collapsed="false" customWidth="true" hidden="false" outlineLevel="0" max="11" min="8" style="0" width="26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6" t="s">
        <v>23</v>
      </c>
      <c r="B1" s="6" t="s">
        <v>24</v>
      </c>
      <c r="C1" s="6" t="s">
        <v>1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34</v>
      </c>
      <c r="N1" s="6" t="s">
        <v>35</v>
      </c>
    </row>
    <row r="2" customFormat="false" ht="23.85" hidden="false" customHeight="false" outlineLevel="0" collapsed="false">
      <c r="A2" s="7" t="n">
        <v>1</v>
      </c>
      <c r="B2" s="8" t="s">
        <v>36</v>
      </c>
      <c r="C2" s="7" t="s">
        <v>7</v>
      </c>
      <c r="D2" s="7" t="s">
        <v>37</v>
      </c>
      <c r="E2" s="9" t="n">
        <v>1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/>
      <c r="N2" s="7"/>
    </row>
    <row r="3" customFormat="false" ht="23.85" hidden="false" customHeight="false" outlineLevel="0" collapsed="false">
      <c r="A3" s="7" t="n">
        <v>2</v>
      </c>
      <c r="B3" s="8" t="s">
        <v>45</v>
      </c>
      <c r="C3" s="7" t="s">
        <v>7</v>
      </c>
      <c r="D3" s="7" t="s">
        <v>37</v>
      </c>
      <c r="E3" s="9" t="n">
        <v>1</v>
      </c>
      <c r="F3" s="7" t="s">
        <v>38</v>
      </c>
      <c r="G3" s="7" t="s">
        <v>46</v>
      </c>
      <c r="H3" s="7" t="s">
        <v>40</v>
      </c>
      <c r="I3" s="7" t="s">
        <v>41</v>
      </c>
      <c r="J3" s="7" t="s">
        <v>47</v>
      </c>
      <c r="K3" s="7" t="s">
        <v>43</v>
      </c>
      <c r="L3" s="7" t="s">
        <v>44</v>
      </c>
      <c r="M3" s="7"/>
      <c r="N3" s="7"/>
    </row>
    <row r="4" customFormat="false" ht="23.85" hidden="false" customHeight="false" outlineLevel="0" collapsed="false">
      <c r="A4" s="7" t="n">
        <v>3</v>
      </c>
      <c r="B4" s="8" t="s">
        <v>48</v>
      </c>
      <c r="C4" s="7" t="s">
        <v>7</v>
      </c>
      <c r="D4" s="7" t="s">
        <v>49</v>
      </c>
      <c r="E4" s="9" t="n">
        <v>1</v>
      </c>
      <c r="F4" s="7" t="s">
        <v>38</v>
      </c>
      <c r="G4" s="7" t="s">
        <v>50</v>
      </c>
      <c r="H4" s="7" t="s">
        <v>51</v>
      </c>
      <c r="I4" s="7" t="s">
        <v>41</v>
      </c>
      <c r="J4" s="7" t="s">
        <v>52</v>
      </c>
      <c r="K4" s="7" t="s">
        <v>43</v>
      </c>
      <c r="L4" s="7" t="s">
        <v>44</v>
      </c>
      <c r="M4" s="7"/>
      <c r="N4" s="7"/>
    </row>
    <row r="5" customFormat="false" ht="23.85" hidden="false" customHeight="false" outlineLevel="0" collapsed="false">
      <c r="A5" s="7" t="n">
        <v>4</v>
      </c>
      <c r="B5" s="8" t="s">
        <v>53</v>
      </c>
      <c r="C5" s="7" t="s">
        <v>7</v>
      </c>
      <c r="D5" s="7" t="s">
        <v>49</v>
      </c>
      <c r="E5" s="9" t="n">
        <v>1</v>
      </c>
      <c r="F5" s="7" t="s">
        <v>38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44</v>
      </c>
      <c r="M5" s="7"/>
      <c r="N5" s="7"/>
    </row>
    <row r="6" customFormat="false" ht="23.85" hidden="false" customHeight="false" outlineLevel="0" collapsed="false">
      <c r="A6" s="7" t="n">
        <v>5</v>
      </c>
      <c r="B6" s="8" t="s">
        <v>59</v>
      </c>
      <c r="C6" s="7" t="s">
        <v>7</v>
      </c>
      <c r="D6" s="7" t="s">
        <v>49</v>
      </c>
      <c r="E6" s="9" t="n">
        <v>1</v>
      </c>
      <c r="F6" s="7" t="s">
        <v>38</v>
      </c>
      <c r="G6" s="7" t="s">
        <v>60</v>
      </c>
      <c r="H6" s="7" t="s">
        <v>55</v>
      </c>
      <c r="I6" s="7" t="s">
        <v>56</v>
      </c>
      <c r="J6" s="7" t="s">
        <v>61</v>
      </c>
      <c r="K6" s="7" t="s">
        <v>43</v>
      </c>
      <c r="L6" s="7" t="s">
        <v>44</v>
      </c>
      <c r="M6" s="7"/>
      <c r="N6" s="7"/>
    </row>
    <row r="7" customFormat="false" ht="23.85" hidden="false" customHeight="false" outlineLevel="0" collapsed="false">
      <c r="A7" s="7" t="n">
        <v>6</v>
      </c>
      <c r="B7" s="8" t="s">
        <v>62</v>
      </c>
      <c r="C7" s="7" t="s">
        <v>7</v>
      </c>
      <c r="D7" s="7" t="s">
        <v>19</v>
      </c>
      <c r="E7" s="9" t="n">
        <v>1</v>
      </c>
      <c r="F7" s="7" t="s">
        <v>63</v>
      </c>
      <c r="G7" s="7" t="s">
        <v>64</v>
      </c>
      <c r="H7" s="7" t="s">
        <v>65</v>
      </c>
      <c r="I7" s="7" t="s">
        <v>66</v>
      </c>
      <c r="J7" s="7" t="s">
        <v>67</v>
      </c>
      <c r="K7" s="7" t="s">
        <v>58</v>
      </c>
      <c r="L7" s="7" t="s">
        <v>44</v>
      </c>
      <c r="M7" s="7"/>
      <c r="N7" s="7"/>
    </row>
    <row r="8" customFormat="false" ht="23.85" hidden="false" customHeight="false" outlineLevel="0" collapsed="false">
      <c r="A8" s="7" t="n">
        <v>7</v>
      </c>
      <c r="B8" s="8" t="s">
        <v>68</v>
      </c>
      <c r="C8" s="7" t="s">
        <v>10</v>
      </c>
      <c r="D8" s="7" t="s">
        <v>69</v>
      </c>
      <c r="E8" s="9" t="n">
        <v>1</v>
      </c>
      <c r="F8" s="7" t="s">
        <v>38</v>
      </c>
      <c r="G8" s="7" t="s">
        <v>70</v>
      </c>
      <c r="H8" s="7" t="s">
        <v>71</v>
      </c>
      <c r="I8" s="7" t="s">
        <v>72</v>
      </c>
      <c r="J8" s="7" t="s">
        <v>73</v>
      </c>
      <c r="K8" s="7" t="s">
        <v>58</v>
      </c>
      <c r="L8" s="7" t="s">
        <v>44</v>
      </c>
      <c r="M8" s="7"/>
      <c r="N8" s="7"/>
    </row>
    <row r="9" customFormat="false" ht="23.85" hidden="false" customHeight="false" outlineLevel="0" collapsed="false">
      <c r="A9" s="7" t="n">
        <v>8</v>
      </c>
      <c r="B9" s="8" t="s">
        <v>74</v>
      </c>
      <c r="C9" s="7" t="s">
        <v>5</v>
      </c>
      <c r="D9" s="7" t="s">
        <v>69</v>
      </c>
      <c r="E9" s="9" t="n">
        <v>1</v>
      </c>
      <c r="F9" s="7" t="s">
        <v>38</v>
      </c>
      <c r="G9" s="7" t="s">
        <v>75</v>
      </c>
      <c r="H9" s="7" t="s">
        <v>76</v>
      </c>
      <c r="I9" s="7" t="s">
        <v>77</v>
      </c>
      <c r="J9" s="7" t="s">
        <v>78</v>
      </c>
      <c r="K9" s="7" t="s">
        <v>58</v>
      </c>
      <c r="L9" s="7" t="s">
        <v>44</v>
      </c>
      <c r="M9" s="7"/>
      <c r="N9" s="7"/>
    </row>
    <row r="10" customFormat="false" ht="23.85" hidden="false" customHeight="false" outlineLevel="0" collapsed="false">
      <c r="A10" s="7" t="n">
        <v>9</v>
      </c>
      <c r="B10" s="8" t="s">
        <v>79</v>
      </c>
      <c r="C10" s="7" t="s">
        <v>5</v>
      </c>
      <c r="D10" s="7" t="s">
        <v>80</v>
      </c>
      <c r="E10" s="9" t="n">
        <v>1</v>
      </c>
      <c r="F10" s="7" t="s">
        <v>38</v>
      </c>
      <c r="G10" s="7" t="s">
        <v>81</v>
      </c>
      <c r="H10" s="7" t="s">
        <v>82</v>
      </c>
      <c r="I10" s="7" t="s">
        <v>66</v>
      </c>
      <c r="J10" s="7" t="s">
        <v>83</v>
      </c>
      <c r="K10" s="7" t="s">
        <v>58</v>
      </c>
      <c r="L10" s="7" t="s">
        <v>44</v>
      </c>
      <c r="M10" s="7"/>
      <c r="N10" s="7"/>
    </row>
    <row r="11" customFormat="false" ht="23.85" hidden="false" customHeight="false" outlineLevel="0" collapsed="false">
      <c r="A11" s="7" t="n">
        <v>10</v>
      </c>
      <c r="B11" s="8" t="s">
        <v>84</v>
      </c>
      <c r="C11" s="7" t="s">
        <v>5</v>
      </c>
      <c r="D11" s="7" t="s">
        <v>19</v>
      </c>
      <c r="E11" s="9" t="n">
        <v>1</v>
      </c>
      <c r="F11" s="7" t="s">
        <v>38</v>
      </c>
      <c r="G11" s="7" t="s">
        <v>85</v>
      </c>
      <c r="H11" s="7" t="s">
        <v>86</v>
      </c>
      <c r="I11" s="7" t="s">
        <v>87</v>
      </c>
      <c r="J11" s="7" t="s">
        <v>88</v>
      </c>
      <c r="K11" s="7" t="s">
        <v>58</v>
      </c>
      <c r="L11" s="7" t="s">
        <v>44</v>
      </c>
      <c r="M11" s="7"/>
      <c r="N11" s="7"/>
    </row>
    <row r="12" customFormat="false" ht="23.85" hidden="false" customHeight="false" outlineLevel="0" collapsed="false">
      <c r="A12" s="7" t="n">
        <v>11</v>
      </c>
      <c r="B12" s="8" t="s">
        <v>89</v>
      </c>
      <c r="C12" s="7" t="s">
        <v>5</v>
      </c>
      <c r="D12" s="7" t="s">
        <v>49</v>
      </c>
      <c r="E12" s="9" t="n">
        <v>1</v>
      </c>
      <c r="F12" s="7" t="s">
        <v>38</v>
      </c>
      <c r="G12" s="7" t="s">
        <v>90</v>
      </c>
      <c r="H12" s="7" t="s">
        <v>91</v>
      </c>
      <c r="I12" s="7" t="s">
        <v>66</v>
      </c>
      <c r="J12" s="7" t="s">
        <v>92</v>
      </c>
      <c r="K12" s="7" t="s">
        <v>43</v>
      </c>
      <c r="L12" s="7" t="s">
        <v>44</v>
      </c>
      <c r="M12" s="7"/>
      <c r="N12" s="7"/>
    </row>
    <row r="13" customFormat="false" ht="23.85" hidden="false" customHeight="false" outlineLevel="0" collapsed="false">
      <c r="A13" s="7" t="n">
        <v>12</v>
      </c>
      <c r="B13" s="8" t="s">
        <v>93</v>
      </c>
      <c r="C13" s="7" t="s">
        <v>5</v>
      </c>
      <c r="D13" s="7" t="s">
        <v>49</v>
      </c>
      <c r="E13" s="9" t="n">
        <v>1</v>
      </c>
      <c r="F13" s="7" t="s">
        <v>38</v>
      </c>
      <c r="G13" s="7" t="s">
        <v>94</v>
      </c>
      <c r="H13" s="7" t="s">
        <v>95</v>
      </c>
      <c r="I13" s="7" t="s">
        <v>96</v>
      </c>
      <c r="J13" s="7" t="s">
        <v>97</v>
      </c>
      <c r="K13" s="7" t="s">
        <v>58</v>
      </c>
      <c r="L13" s="7" t="s">
        <v>44</v>
      </c>
      <c r="M13" s="7"/>
      <c r="N13" s="7"/>
    </row>
    <row r="14" customFormat="false" ht="23.85" hidden="false" customHeight="false" outlineLevel="0" collapsed="false">
      <c r="A14" s="7" t="n">
        <v>13</v>
      </c>
      <c r="B14" s="8" t="s">
        <v>98</v>
      </c>
      <c r="C14" s="7" t="s">
        <v>6</v>
      </c>
      <c r="D14" s="7" t="s">
        <v>99</v>
      </c>
      <c r="E14" s="9" t="n">
        <v>1</v>
      </c>
      <c r="F14" s="7" t="s">
        <v>38</v>
      </c>
      <c r="G14" s="7" t="s">
        <v>100</v>
      </c>
      <c r="H14" s="7" t="s">
        <v>101</v>
      </c>
      <c r="I14" s="7" t="s">
        <v>102</v>
      </c>
      <c r="J14" s="7" t="s">
        <v>103</v>
      </c>
      <c r="K14" s="7" t="s">
        <v>43</v>
      </c>
      <c r="L14" s="7" t="s">
        <v>44</v>
      </c>
      <c r="M14" s="7"/>
      <c r="N14" s="7"/>
    </row>
    <row r="15" customFormat="false" ht="23.85" hidden="false" customHeight="false" outlineLevel="0" collapsed="false">
      <c r="A15" s="7" t="n">
        <v>14</v>
      </c>
      <c r="B15" s="8" t="s">
        <v>104</v>
      </c>
      <c r="C15" s="7" t="s">
        <v>6</v>
      </c>
      <c r="D15" s="7" t="s">
        <v>21</v>
      </c>
      <c r="E15" s="9" t="n">
        <v>1</v>
      </c>
      <c r="F15" s="7" t="s">
        <v>38</v>
      </c>
      <c r="G15" s="7" t="s">
        <v>105</v>
      </c>
      <c r="H15" s="7" t="s">
        <v>106</v>
      </c>
      <c r="I15" s="7" t="s">
        <v>72</v>
      </c>
      <c r="J15" s="7" t="s">
        <v>107</v>
      </c>
      <c r="K15" s="7" t="s">
        <v>58</v>
      </c>
      <c r="L15" s="7" t="s">
        <v>44</v>
      </c>
      <c r="M15" s="7"/>
      <c r="N15" s="7"/>
    </row>
    <row r="16" customFormat="false" ht="23.85" hidden="false" customHeight="false" outlineLevel="0" collapsed="false">
      <c r="A16" s="7" t="n">
        <v>15</v>
      </c>
      <c r="B16" s="8" t="s">
        <v>108</v>
      </c>
      <c r="C16" s="7" t="s">
        <v>6</v>
      </c>
      <c r="D16" s="7" t="s">
        <v>49</v>
      </c>
      <c r="E16" s="9" t="n">
        <v>1</v>
      </c>
      <c r="F16" s="7" t="s">
        <v>38</v>
      </c>
      <c r="G16" s="7" t="s">
        <v>109</v>
      </c>
      <c r="H16" s="7" t="s">
        <v>110</v>
      </c>
      <c r="I16" s="7" t="s">
        <v>111</v>
      </c>
      <c r="J16" s="7" t="s">
        <v>112</v>
      </c>
      <c r="K16" s="7" t="s">
        <v>43</v>
      </c>
      <c r="L16" s="7" t="s">
        <v>44</v>
      </c>
      <c r="M16" s="7"/>
      <c r="N16" s="7"/>
    </row>
    <row r="17" customFormat="false" ht="23.85" hidden="false" customHeight="false" outlineLevel="0" collapsed="false">
      <c r="A17" s="7" t="n">
        <v>16</v>
      </c>
      <c r="B17" s="8" t="s">
        <v>113</v>
      </c>
      <c r="C17" s="7" t="s">
        <v>8</v>
      </c>
      <c r="D17" s="7" t="s">
        <v>20</v>
      </c>
      <c r="E17" s="9" t="n">
        <v>1</v>
      </c>
      <c r="F17" s="7" t="s">
        <v>38</v>
      </c>
      <c r="G17" s="7" t="s">
        <v>114</v>
      </c>
      <c r="H17" s="7" t="s">
        <v>115</v>
      </c>
      <c r="I17" s="7" t="s">
        <v>56</v>
      </c>
      <c r="J17" s="7" t="s">
        <v>116</v>
      </c>
      <c r="K17" s="7" t="s">
        <v>58</v>
      </c>
      <c r="L17" s="7" t="s">
        <v>44</v>
      </c>
      <c r="M17" s="7"/>
      <c r="N17" s="7"/>
    </row>
    <row r="18" customFormat="false" ht="23.85" hidden="false" customHeight="false" outlineLevel="0" collapsed="false">
      <c r="A18" s="7" t="n">
        <v>17</v>
      </c>
      <c r="B18" s="8" t="s">
        <v>117</v>
      </c>
      <c r="C18" s="7" t="s">
        <v>9</v>
      </c>
      <c r="D18" s="7" t="s">
        <v>118</v>
      </c>
      <c r="E18" s="9" t="n">
        <v>1</v>
      </c>
      <c r="F18" s="7" t="s">
        <v>119</v>
      </c>
      <c r="G18" s="7" t="s">
        <v>120</v>
      </c>
      <c r="H18" s="7" t="s">
        <v>121</v>
      </c>
      <c r="I18" s="7" t="s">
        <v>66</v>
      </c>
      <c r="J18" s="7" t="s">
        <v>122</v>
      </c>
      <c r="K18" s="7" t="s">
        <v>43</v>
      </c>
      <c r="L18" s="7" t="s">
        <v>44</v>
      </c>
      <c r="M18" s="7"/>
      <c r="N18" s="7"/>
    </row>
    <row r="19" customFormat="false" ht="23.85" hidden="false" customHeight="false" outlineLevel="0" collapsed="false">
      <c r="A19" s="7" t="n">
        <v>18</v>
      </c>
      <c r="B19" s="8" t="s">
        <v>123</v>
      </c>
      <c r="C19" s="7" t="s">
        <v>9</v>
      </c>
      <c r="D19" s="7" t="s">
        <v>49</v>
      </c>
      <c r="E19" s="9" t="n">
        <v>1</v>
      </c>
      <c r="F19" s="7" t="s">
        <v>119</v>
      </c>
      <c r="G19" s="7" t="s">
        <v>124</v>
      </c>
      <c r="H19" s="7" t="s">
        <v>125</v>
      </c>
      <c r="I19" s="7" t="s">
        <v>66</v>
      </c>
      <c r="J19" s="7" t="s">
        <v>126</v>
      </c>
      <c r="K19" s="7" t="s">
        <v>43</v>
      </c>
      <c r="L19" s="7" t="s">
        <v>44</v>
      </c>
      <c r="M19" s="7"/>
      <c r="N19" s="7"/>
    </row>
    <row r="20" customFormat="false" ht="23.85" hidden="false" customHeight="false" outlineLevel="0" collapsed="false">
      <c r="A20" s="7" t="n">
        <v>19</v>
      </c>
      <c r="B20" s="8" t="s">
        <v>127</v>
      </c>
      <c r="C20" s="7" t="s">
        <v>9</v>
      </c>
      <c r="D20" s="7" t="s">
        <v>49</v>
      </c>
      <c r="E20" s="9" t="n">
        <v>1</v>
      </c>
      <c r="F20" s="7" t="s">
        <v>119</v>
      </c>
      <c r="G20" s="7" t="s">
        <v>128</v>
      </c>
      <c r="H20" s="7" t="s">
        <v>125</v>
      </c>
      <c r="I20" s="7" t="s">
        <v>66</v>
      </c>
      <c r="J20" s="7" t="s">
        <v>129</v>
      </c>
      <c r="K20" s="7" t="s">
        <v>43</v>
      </c>
      <c r="L20" s="7" t="s">
        <v>44</v>
      </c>
      <c r="M20" s="7"/>
      <c r="N20" s="7"/>
    </row>
    <row r="21" customFormat="false" ht="23.85" hidden="false" customHeight="false" outlineLevel="0" collapsed="false">
      <c r="A21" s="7" t="n">
        <v>20</v>
      </c>
      <c r="B21" s="8" t="s">
        <v>130</v>
      </c>
      <c r="C21" s="7" t="s">
        <v>9</v>
      </c>
      <c r="D21" s="7" t="s">
        <v>131</v>
      </c>
      <c r="E21" s="9" t="n">
        <v>1</v>
      </c>
      <c r="F21" s="7" t="s">
        <v>119</v>
      </c>
      <c r="G21" s="7" t="s">
        <v>132</v>
      </c>
      <c r="H21" s="7" t="s">
        <v>133</v>
      </c>
      <c r="I21" s="7" t="s">
        <v>66</v>
      </c>
      <c r="J21" s="7" t="s">
        <v>134</v>
      </c>
      <c r="K21" s="7" t="s">
        <v>43</v>
      </c>
      <c r="L21" s="7" t="s">
        <v>44</v>
      </c>
      <c r="M21" s="7"/>
      <c r="N21" s="7"/>
    </row>
    <row r="22" customFormat="false" ht="23.85" hidden="false" customHeight="false" outlineLevel="0" collapsed="false">
      <c r="A22" s="7" t="n">
        <v>21</v>
      </c>
      <c r="B22" s="8" t="s">
        <v>135</v>
      </c>
      <c r="C22" s="7" t="s">
        <v>7</v>
      </c>
      <c r="D22" s="7" t="s">
        <v>49</v>
      </c>
      <c r="E22" s="10" t="n">
        <v>2</v>
      </c>
      <c r="F22" s="7" t="s">
        <v>63</v>
      </c>
      <c r="G22" s="7" t="s">
        <v>136</v>
      </c>
      <c r="H22" s="7" t="s">
        <v>125</v>
      </c>
      <c r="I22" s="7" t="s">
        <v>56</v>
      </c>
      <c r="J22" s="7" t="s">
        <v>137</v>
      </c>
      <c r="K22" s="7" t="s">
        <v>43</v>
      </c>
      <c r="L22" s="7" t="s">
        <v>44</v>
      </c>
      <c r="M22" s="7"/>
      <c r="N22" s="7"/>
    </row>
    <row r="23" customFormat="false" ht="15" hidden="false" customHeight="false" outlineLevel="0" collapsed="false">
      <c r="A23" s="7" t="n">
        <v>22</v>
      </c>
      <c r="B23" s="8" t="s">
        <v>138</v>
      </c>
      <c r="C23" s="7" t="s">
        <v>7</v>
      </c>
      <c r="D23" s="7" t="s">
        <v>19</v>
      </c>
      <c r="E23" s="10" t="n">
        <v>2</v>
      </c>
      <c r="F23" s="7" t="s">
        <v>38</v>
      </c>
      <c r="G23" s="7" t="s">
        <v>139</v>
      </c>
      <c r="H23" s="7" t="s">
        <v>140</v>
      </c>
      <c r="I23" s="7" t="s">
        <v>66</v>
      </c>
      <c r="J23" s="7" t="s">
        <v>141</v>
      </c>
      <c r="K23" s="7" t="s">
        <v>58</v>
      </c>
      <c r="L23" s="7" t="s">
        <v>44</v>
      </c>
      <c r="M23" s="7"/>
      <c r="N23" s="7"/>
    </row>
    <row r="24" customFormat="false" ht="23.85" hidden="false" customHeight="false" outlineLevel="0" collapsed="false">
      <c r="A24" s="7" t="n">
        <v>23</v>
      </c>
      <c r="B24" s="8" t="s">
        <v>142</v>
      </c>
      <c r="C24" s="7" t="s">
        <v>7</v>
      </c>
      <c r="D24" s="7" t="s">
        <v>37</v>
      </c>
      <c r="E24" s="10" t="n">
        <v>2</v>
      </c>
      <c r="F24" s="7" t="s">
        <v>63</v>
      </c>
      <c r="G24" s="7" t="s">
        <v>143</v>
      </c>
      <c r="H24" s="7" t="s">
        <v>125</v>
      </c>
      <c r="I24" s="7" t="s">
        <v>56</v>
      </c>
      <c r="J24" s="7" t="s">
        <v>144</v>
      </c>
      <c r="K24" s="7" t="s">
        <v>43</v>
      </c>
      <c r="L24" s="7" t="s">
        <v>44</v>
      </c>
      <c r="M24" s="7"/>
      <c r="N24" s="7"/>
    </row>
    <row r="25" customFormat="false" ht="15" hidden="false" customHeight="false" outlineLevel="0" collapsed="false">
      <c r="A25" s="7" t="n">
        <v>24</v>
      </c>
      <c r="B25" s="8" t="s">
        <v>145</v>
      </c>
      <c r="C25" s="7" t="s">
        <v>7</v>
      </c>
      <c r="D25" s="7" t="s">
        <v>21</v>
      </c>
      <c r="E25" s="10" t="n">
        <v>2</v>
      </c>
      <c r="F25" s="7" t="s">
        <v>63</v>
      </c>
      <c r="G25" s="7" t="s">
        <v>146</v>
      </c>
      <c r="H25" s="7" t="s">
        <v>71</v>
      </c>
      <c r="I25" s="7" t="s">
        <v>56</v>
      </c>
      <c r="J25" s="7" t="s">
        <v>147</v>
      </c>
      <c r="K25" s="7" t="s">
        <v>58</v>
      </c>
      <c r="L25" s="7" t="s">
        <v>44</v>
      </c>
      <c r="M25" s="7"/>
      <c r="N25" s="7"/>
    </row>
    <row r="26" customFormat="false" ht="23.85" hidden="false" customHeight="false" outlineLevel="0" collapsed="false">
      <c r="A26" s="7" t="n">
        <v>25</v>
      </c>
      <c r="B26" s="8" t="s">
        <v>148</v>
      </c>
      <c r="C26" s="7" t="s">
        <v>7</v>
      </c>
      <c r="D26" s="7" t="s">
        <v>21</v>
      </c>
      <c r="E26" s="10" t="n">
        <v>2</v>
      </c>
      <c r="F26" s="7" t="s">
        <v>63</v>
      </c>
      <c r="G26" s="7" t="s">
        <v>149</v>
      </c>
      <c r="H26" s="7" t="s">
        <v>125</v>
      </c>
      <c r="I26" s="7" t="s">
        <v>56</v>
      </c>
      <c r="J26" s="7" t="s">
        <v>150</v>
      </c>
      <c r="K26" s="7" t="s">
        <v>43</v>
      </c>
      <c r="L26" s="7" t="s">
        <v>44</v>
      </c>
      <c r="M26" s="7"/>
      <c r="N26" s="7"/>
    </row>
    <row r="27" customFormat="false" ht="23.85" hidden="false" customHeight="false" outlineLevel="0" collapsed="false">
      <c r="A27" s="7" t="n">
        <v>26</v>
      </c>
      <c r="B27" s="8" t="s">
        <v>151</v>
      </c>
      <c r="C27" s="7" t="s">
        <v>7</v>
      </c>
      <c r="D27" s="7" t="s">
        <v>21</v>
      </c>
      <c r="E27" s="10" t="n">
        <v>2</v>
      </c>
      <c r="F27" s="7" t="s">
        <v>63</v>
      </c>
      <c r="G27" s="7" t="s">
        <v>152</v>
      </c>
      <c r="H27" s="7" t="s">
        <v>71</v>
      </c>
      <c r="I27" s="7" t="s">
        <v>56</v>
      </c>
      <c r="J27" s="7" t="s">
        <v>153</v>
      </c>
      <c r="K27" s="7" t="s">
        <v>43</v>
      </c>
      <c r="L27" s="7" t="s">
        <v>44</v>
      </c>
      <c r="M27" s="7"/>
      <c r="N27" s="7"/>
    </row>
    <row r="28" customFormat="false" ht="15" hidden="false" customHeight="false" outlineLevel="0" collapsed="false">
      <c r="A28" s="7" t="n">
        <v>27</v>
      </c>
      <c r="B28" s="8" t="s">
        <v>154</v>
      </c>
      <c r="C28" s="7" t="s">
        <v>7</v>
      </c>
      <c r="D28" s="7" t="s">
        <v>21</v>
      </c>
      <c r="E28" s="10" t="n">
        <v>2</v>
      </c>
      <c r="F28" s="7" t="s">
        <v>63</v>
      </c>
      <c r="G28" s="7" t="s">
        <v>155</v>
      </c>
      <c r="H28" s="7" t="s">
        <v>125</v>
      </c>
      <c r="I28" s="7" t="s">
        <v>56</v>
      </c>
      <c r="J28" s="7" t="s">
        <v>156</v>
      </c>
      <c r="K28" s="7" t="s">
        <v>58</v>
      </c>
      <c r="L28" s="7" t="s">
        <v>44</v>
      </c>
      <c r="M28" s="7"/>
      <c r="N28" s="7"/>
    </row>
    <row r="29" customFormat="false" ht="15" hidden="false" customHeight="false" outlineLevel="0" collapsed="false">
      <c r="A29" s="7" t="n">
        <v>28</v>
      </c>
      <c r="B29" s="8" t="s">
        <v>157</v>
      </c>
      <c r="C29" s="7" t="s">
        <v>10</v>
      </c>
      <c r="D29" s="7" t="s">
        <v>37</v>
      </c>
      <c r="E29" s="10" t="n">
        <v>2</v>
      </c>
      <c r="F29" s="7" t="s">
        <v>158</v>
      </c>
      <c r="G29" s="7" t="s">
        <v>159</v>
      </c>
      <c r="H29" s="7" t="s">
        <v>125</v>
      </c>
      <c r="I29" s="7" t="s">
        <v>56</v>
      </c>
      <c r="J29" s="7" t="s">
        <v>160</v>
      </c>
      <c r="K29" s="7" t="s">
        <v>58</v>
      </c>
      <c r="L29" s="7" t="s">
        <v>44</v>
      </c>
      <c r="M29" s="7"/>
      <c r="N29" s="7"/>
    </row>
    <row r="30" customFormat="false" ht="23.85" hidden="false" customHeight="false" outlineLevel="0" collapsed="false">
      <c r="A30" s="7" t="n">
        <v>29</v>
      </c>
      <c r="B30" s="8" t="s">
        <v>161</v>
      </c>
      <c r="C30" s="7" t="s">
        <v>10</v>
      </c>
      <c r="D30" s="7" t="s">
        <v>49</v>
      </c>
      <c r="E30" s="10" t="n">
        <v>2</v>
      </c>
      <c r="F30" s="7" t="s">
        <v>158</v>
      </c>
      <c r="G30" s="7" t="s">
        <v>162</v>
      </c>
      <c r="H30" s="7" t="s">
        <v>125</v>
      </c>
      <c r="I30" s="7" t="s">
        <v>66</v>
      </c>
      <c r="J30" s="7" t="s">
        <v>163</v>
      </c>
      <c r="K30" s="7" t="s">
        <v>43</v>
      </c>
      <c r="L30" s="7" t="s">
        <v>44</v>
      </c>
      <c r="M30" s="7"/>
      <c r="N30" s="7"/>
    </row>
    <row r="31" customFormat="false" ht="23.85" hidden="false" customHeight="false" outlineLevel="0" collapsed="false">
      <c r="A31" s="7" t="n">
        <v>30</v>
      </c>
      <c r="B31" s="8" t="s">
        <v>164</v>
      </c>
      <c r="C31" s="7" t="s">
        <v>10</v>
      </c>
      <c r="D31" s="7" t="s">
        <v>165</v>
      </c>
      <c r="E31" s="10" t="n">
        <v>2</v>
      </c>
      <c r="F31" s="7" t="s">
        <v>158</v>
      </c>
      <c r="G31" s="7" t="s">
        <v>166</v>
      </c>
      <c r="H31" s="7" t="s">
        <v>125</v>
      </c>
      <c r="I31" s="7" t="s">
        <v>66</v>
      </c>
      <c r="J31" s="7" t="s">
        <v>167</v>
      </c>
      <c r="K31" s="7" t="s">
        <v>43</v>
      </c>
      <c r="L31" s="7" t="s">
        <v>44</v>
      </c>
      <c r="M31" s="7"/>
      <c r="N31" s="7"/>
    </row>
    <row r="32" customFormat="false" ht="23.85" hidden="false" customHeight="false" outlineLevel="0" collapsed="false">
      <c r="A32" s="7" t="n">
        <v>31</v>
      </c>
      <c r="B32" s="8" t="s">
        <v>168</v>
      </c>
      <c r="C32" s="7" t="s">
        <v>10</v>
      </c>
      <c r="D32" s="7" t="s">
        <v>169</v>
      </c>
      <c r="E32" s="10" t="n">
        <v>2</v>
      </c>
      <c r="F32" s="7" t="s">
        <v>158</v>
      </c>
      <c r="G32" s="7" t="s">
        <v>170</v>
      </c>
      <c r="H32" s="7" t="s">
        <v>125</v>
      </c>
      <c r="I32" s="7" t="s">
        <v>66</v>
      </c>
      <c r="J32" s="7" t="s">
        <v>171</v>
      </c>
      <c r="K32" s="7" t="s">
        <v>43</v>
      </c>
      <c r="L32" s="7" t="s">
        <v>44</v>
      </c>
      <c r="M32" s="7"/>
      <c r="N32" s="7"/>
    </row>
    <row r="33" customFormat="false" ht="23.85" hidden="false" customHeight="false" outlineLevel="0" collapsed="false">
      <c r="A33" s="7" t="n">
        <v>32</v>
      </c>
      <c r="B33" s="8" t="s">
        <v>172</v>
      </c>
      <c r="C33" s="7" t="s">
        <v>5</v>
      </c>
      <c r="D33" s="7" t="s">
        <v>49</v>
      </c>
      <c r="E33" s="10" t="n">
        <v>2</v>
      </c>
      <c r="F33" s="7" t="s">
        <v>38</v>
      </c>
      <c r="G33" s="7" t="s">
        <v>173</v>
      </c>
      <c r="H33" s="7" t="s">
        <v>174</v>
      </c>
      <c r="I33" s="7" t="s">
        <v>66</v>
      </c>
      <c r="J33" s="7" t="s">
        <v>175</v>
      </c>
      <c r="K33" s="7" t="s">
        <v>43</v>
      </c>
      <c r="L33" s="7" t="s">
        <v>44</v>
      </c>
      <c r="M33" s="7"/>
      <c r="N33" s="7"/>
    </row>
    <row r="34" customFormat="false" ht="23.85" hidden="false" customHeight="false" outlineLevel="0" collapsed="false">
      <c r="A34" s="7" t="n">
        <v>33</v>
      </c>
      <c r="B34" s="8" t="s">
        <v>176</v>
      </c>
      <c r="C34" s="7" t="s">
        <v>5</v>
      </c>
      <c r="D34" s="7" t="s">
        <v>49</v>
      </c>
      <c r="E34" s="10" t="n">
        <v>2</v>
      </c>
      <c r="F34" s="7" t="s">
        <v>38</v>
      </c>
      <c r="G34" s="7" t="s">
        <v>173</v>
      </c>
      <c r="H34" s="7" t="s">
        <v>174</v>
      </c>
      <c r="I34" s="7" t="s">
        <v>66</v>
      </c>
      <c r="J34" s="7" t="s">
        <v>177</v>
      </c>
      <c r="K34" s="7" t="s">
        <v>43</v>
      </c>
      <c r="L34" s="7" t="s">
        <v>44</v>
      </c>
      <c r="M34" s="7"/>
      <c r="N34" s="7"/>
    </row>
    <row r="35" customFormat="false" ht="23.85" hidden="false" customHeight="false" outlineLevel="0" collapsed="false">
      <c r="A35" s="7" t="n">
        <v>34</v>
      </c>
      <c r="B35" s="8" t="s">
        <v>178</v>
      </c>
      <c r="C35" s="7" t="s">
        <v>5</v>
      </c>
      <c r="D35" s="7" t="s">
        <v>49</v>
      </c>
      <c r="E35" s="10" t="n">
        <v>2</v>
      </c>
      <c r="F35" s="7" t="s">
        <v>63</v>
      </c>
      <c r="G35" s="7" t="s">
        <v>179</v>
      </c>
      <c r="H35" s="7" t="s">
        <v>125</v>
      </c>
      <c r="I35" s="7" t="s">
        <v>66</v>
      </c>
      <c r="J35" s="7" t="s">
        <v>180</v>
      </c>
      <c r="K35" s="7" t="s">
        <v>43</v>
      </c>
      <c r="L35" s="7" t="s">
        <v>44</v>
      </c>
      <c r="M35" s="7"/>
      <c r="N35" s="7"/>
    </row>
    <row r="36" customFormat="false" ht="23.85" hidden="false" customHeight="false" outlineLevel="0" collapsed="false">
      <c r="A36" s="7" t="n">
        <v>35</v>
      </c>
      <c r="B36" s="8" t="s">
        <v>181</v>
      </c>
      <c r="C36" s="7" t="s">
        <v>5</v>
      </c>
      <c r="D36" s="7" t="s">
        <v>80</v>
      </c>
      <c r="E36" s="10" t="n">
        <v>2</v>
      </c>
      <c r="F36" s="7" t="s">
        <v>63</v>
      </c>
      <c r="G36" s="7" t="s">
        <v>182</v>
      </c>
      <c r="H36" s="7" t="s">
        <v>125</v>
      </c>
      <c r="I36" s="7" t="s">
        <v>66</v>
      </c>
      <c r="J36" s="7" t="s">
        <v>183</v>
      </c>
      <c r="K36" s="7" t="s">
        <v>43</v>
      </c>
      <c r="L36" s="7" t="s">
        <v>44</v>
      </c>
      <c r="M36" s="7"/>
      <c r="N36" s="7"/>
    </row>
    <row r="37" customFormat="false" ht="23.85" hidden="false" customHeight="false" outlineLevel="0" collapsed="false">
      <c r="A37" s="7" t="n">
        <v>36</v>
      </c>
      <c r="B37" s="8" t="s">
        <v>184</v>
      </c>
      <c r="C37" s="7" t="s">
        <v>5</v>
      </c>
      <c r="D37" s="7" t="s">
        <v>21</v>
      </c>
      <c r="E37" s="10" t="n">
        <v>2</v>
      </c>
      <c r="F37" s="7" t="s">
        <v>63</v>
      </c>
      <c r="G37" s="7" t="s">
        <v>185</v>
      </c>
      <c r="H37" s="7" t="s">
        <v>186</v>
      </c>
      <c r="I37" s="7" t="s">
        <v>72</v>
      </c>
      <c r="J37" s="7" t="s">
        <v>187</v>
      </c>
      <c r="K37" s="7" t="s">
        <v>43</v>
      </c>
      <c r="L37" s="7" t="s">
        <v>44</v>
      </c>
      <c r="M37" s="7"/>
      <c r="N37" s="7"/>
    </row>
    <row r="38" customFormat="false" ht="23.85" hidden="false" customHeight="false" outlineLevel="0" collapsed="false">
      <c r="A38" s="7" t="n">
        <v>37</v>
      </c>
      <c r="B38" s="8" t="s">
        <v>188</v>
      </c>
      <c r="C38" s="7" t="s">
        <v>5</v>
      </c>
      <c r="D38" s="7" t="s">
        <v>49</v>
      </c>
      <c r="E38" s="10" t="n">
        <v>2</v>
      </c>
      <c r="F38" s="7" t="s">
        <v>63</v>
      </c>
      <c r="G38" s="7" t="s">
        <v>189</v>
      </c>
      <c r="H38" s="7" t="s">
        <v>190</v>
      </c>
      <c r="I38" s="7" t="s">
        <v>96</v>
      </c>
      <c r="J38" s="7" t="s">
        <v>191</v>
      </c>
      <c r="K38" s="7" t="s">
        <v>43</v>
      </c>
      <c r="L38" s="7" t="s">
        <v>44</v>
      </c>
      <c r="M38" s="7"/>
      <c r="N38" s="7"/>
    </row>
    <row r="39" customFormat="false" ht="23.85" hidden="false" customHeight="false" outlineLevel="0" collapsed="false">
      <c r="A39" s="7" t="n">
        <v>38</v>
      </c>
      <c r="B39" s="8" t="s">
        <v>192</v>
      </c>
      <c r="C39" s="7" t="s">
        <v>5</v>
      </c>
      <c r="D39" s="7" t="s">
        <v>49</v>
      </c>
      <c r="E39" s="10" t="n">
        <v>2</v>
      </c>
      <c r="F39" s="7" t="s">
        <v>63</v>
      </c>
      <c r="G39" s="7" t="s">
        <v>193</v>
      </c>
      <c r="H39" s="7" t="s">
        <v>194</v>
      </c>
      <c r="I39" s="7" t="s">
        <v>56</v>
      </c>
      <c r="J39" s="7" t="s">
        <v>195</v>
      </c>
      <c r="K39" s="7" t="s">
        <v>43</v>
      </c>
      <c r="L39" s="7" t="s">
        <v>44</v>
      </c>
      <c r="M39" s="7"/>
      <c r="N39" s="7"/>
    </row>
    <row r="40" customFormat="false" ht="23.85" hidden="false" customHeight="false" outlineLevel="0" collapsed="false">
      <c r="A40" s="7" t="n">
        <v>39</v>
      </c>
      <c r="B40" s="8" t="s">
        <v>196</v>
      </c>
      <c r="C40" s="7" t="s">
        <v>6</v>
      </c>
      <c r="D40" s="7" t="s">
        <v>49</v>
      </c>
      <c r="E40" s="10" t="n">
        <v>2</v>
      </c>
      <c r="F40" s="7" t="s">
        <v>63</v>
      </c>
      <c r="G40" s="7" t="s">
        <v>197</v>
      </c>
      <c r="H40" s="7" t="s">
        <v>110</v>
      </c>
      <c r="I40" s="7" t="s">
        <v>56</v>
      </c>
      <c r="J40" s="7" t="s">
        <v>198</v>
      </c>
      <c r="K40" s="7" t="s">
        <v>43</v>
      </c>
      <c r="L40" s="7" t="s">
        <v>44</v>
      </c>
      <c r="M40" s="7"/>
      <c r="N40" s="7"/>
    </row>
    <row r="41" customFormat="false" ht="15" hidden="false" customHeight="false" outlineLevel="0" collapsed="false">
      <c r="A41" s="7" t="n">
        <v>40</v>
      </c>
      <c r="B41" s="8" t="s">
        <v>199</v>
      </c>
      <c r="C41" s="7" t="s">
        <v>6</v>
      </c>
      <c r="D41" s="7" t="s">
        <v>21</v>
      </c>
      <c r="E41" s="10" t="n">
        <v>2</v>
      </c>
      <c r="F41" s="7" t="s">
        <v>63</v>
      </c>
      <c r="G41" s="7" t="s">
        <v>200</v>
      </c>
      <c r="H41" s="7" t="s">
        <v>125</v>
      </c>
      <c r="I41" s="7" t="s">
        <v>56</v>
      </c>
      <c r="J41" s="7" t="s">
        <v>201</v>
      </c>
      <c r="K41" s="7" t="s">
        <v>58</v>
      </c>
      <c r="L41" s="7" t="s">
        <v>44</v>
      </c>
      <c r="M41" s="7"/>
      <c r="N41" s="7"/>
    </row>
    <row r="42" customFormat="false" ht="23.85" hidden="false" customHeight="false" outlineLevel="0" collapsed="false">
      <c r="A42" s="7" t="n">
        <v>41</v>
      </c>
      <c r="B42" s="8" t="s">
        <v>202</v>
      </c>
      <c r="C42" s="7" t="s">
        <v>6</v>
      </c>
      <c r="D42" s="7" t="s">
        <v>21</v>
      </c>
      <c r="E42" s="10" t="n">
        <v>2</v>
      </c>
      <c r="F42" s="7" t="s">
        <v>63</v>
      </c>
      <c r="G42" s="7" t="s">
        <v>203</v>
      </c>
      <c r="H42" s="7" t="s">
        <v>95</v>
      </c>
      <c r="I42" s="7" t="s">
        <v>56</v>
      </c>
      <c r="J42" s="7" t="s">
        <v>204</v>
      </c>
      <c r="K42" s="7" t="s">
        <v>43</v>
      </c>
      <c r="L42" s="7" t="s">
        <v>44</v>
      </c>
      <c r="M42" s="7"/>
      <c r="N42" s="7"/>
    </row>
    <row r="43" customFormat="false" ht="23.85" hidden="false" customHeight="false" outlineLevel="0" collapsed="false">
      <c r="A43" s="7" t="n">
        <v>42</v>
      </c>
      <c r="B43" s="8" t="s">
        <v>205</v>
      </c>
      <c r="C43" s="7" t="s">
        <v>6</v>
      </c>
      <c r="D43" s="7" t="s">
        <v>21</v>
      </c>
      <c r="E43" s="10" t="n">
        <v>2</v>
      </c>
      <c r="F43" s="7" t="s">
        <v>63</v>
      </c>
      <c r="G43" s="7" t="s">
        <v>206</v>
      </c>
      <c r="H43" s="7" t="s">
        <v>125</v>
      </c>
      <c r="I43" s="7" t="s">
        <v>66</v>
      </c>
      <c r="J43" s="7" t="s">
        <v>207</v>
      </c>
      <c r="K43" s="7" t="s">
        <v>43</v>
      </c>
      <c r="L43" s="7" t="s">
        <v>44</v>
      </c>
      <c r="M43" s="7"/>
      <c r="N43" s="7"/>
    </row>
    <row r="44" customFormat="false" ht="23.85" hidden="false" customHeight="false" outlineLevel="0" collapsed="false">
      <c r="A44" s="7" t="n">
        <v>43</v>
      </c>
      <c r="B44" s="8" t="s">
        <v>208</v>
      </c>
      <c r="C44" s="7" t="s">
        <v>8</v>
      </c>
      <c r="D44" s="7" t="s">
        <v>20</v>
      </c>
      <c r="E44" s="10" t="n">
        <v>2</v>
      </c>
      <c r="F44" s="7" t="s">
        <v>63</v>
      </c>
      <c r="G44" s="7" t="s">
        <v>209</v>
      </c>
      <c r="H44" s="7" t="s">
        <v>125</v>
      </c>
      <c r="I44" s="7" t="s">
        <v>66</v>
      </c>
      <c r="J44" s="7" t="s">
        <v>210</v>
      </c>
      <c r="K44" s="7" t="s">
        <v>43</v>
      </c>
      <c r="L44" s="7" t="s">
        <v>44</v>
      </c>
      <c r="M44" s="7"/>
      <c r="N44" s="7"/>
    </row>
    <row r="45" customFormat="false" ht="15" hidden="false" customHeight="false" outlineLevel="0" collapsed="false">
      <c r="A45" s="7" t="n">
        <v>44</v>
      </c>
      <c r="B45" s="8" t="s">
        <v>211</v>
      </c>
      <c r="C45" s="7" t="s">
        <v>8</v>
      </c>
      <c r="D45" s="7" t="s">
        <v>49</v>
      </c>
      <c r="E45" s="10" t="n">
        <v>2</v>
      </c>
      <c r="F45" s="7" t="s">
        <v>63</v>
      </c>
      <c r="G45" s="7" t="s">
        <v>212</v>
      </c>
      <c r="H45" s="7" t="s">
        <v>213</v>
      </c>
      <c r="I45" s="7" t="s">
        <v>56</v>
      </c>
      <c r="J45" s="7" t="s">
        <v>214</v>
      </c>
      <c r="K45" s="7" t="s">
        <v>58</v>
      </c>
      <c r="L45" s="7" t="s">
        <v>44</v>
      </c>
      <c r="M45" s="7"/>
      <c r="N45" s="7"/>
    </row>
    <row r="46" customFormat="false" ht="15" hidden="false" customHeight="false" outlineLevel="0" collapsed="false">
      <c r="A46" s="7" t="n">
        <v>45</v>
      </c>
      <c r="B46" s="8" t="s">
        <v>215</v>
      </c>
      <c r="C46" s="7" t="s">
        <v>8</v>
      </c>
      <c r="D46" s="7" t="s">
        <v>18</v>
      </c>
      <c r="E46" s="10" t="n">
        <v>2</v>
      </c>
      <c r="F46" s="7" t="s">
        <v>63</v>
      </c>
      <c r="G46" s="7" t="s">
        <v>216</v>
      </c>
      <c r="H46" s="7" t="s">
        <v>71</v>
      </c>
      <c r="I46" s="7" t="s">
        <v>56</v>
      </c>
      <c r="J46" s="7" t="s">
        <v>217</v>
      </c>
      <c r="K46" s="7" t="s">
        <v>58</v>
      </c>
      <c r="L46" s="7" t="s">
        <v>44</v>
      </c>
      <c r="M46" s="7"/>
      <c r="N46" s="7"/>
    </row>
    <row r="47" customFormat="false" ht="23.85" hidden="false" customHeight="false" outlineLevel="0" collapsed="false">
      <c r="A47" s="7" t="n">
        <v>46</v>
      </c>
      <c r="B47" s="8" t="s">
        <v>218</v>
      </c>
      <c r="C47" s="7" t="s">
        <v>12</v>
      </c>
      <c r="D47" s="7" t="s">
        <v>49</v>
      </c>
      <c r="E47" s="10" t="n">
        <v>2</v>
      </c>
      <c r="F47" s="7" t="s">
        <v>63</v>
      </c>
      <c r="G47" s="7" t="s">
        <v>219</v>
      </c>
      <c r="H47" s="7" t="s">
        <v>110</v>
      </c>
      <c r="I47" s="7" t="s">
        <v>56</v>
      </c>
      <c r="J47" s="7" t="s">
        <v>220</v>
      </c>
      <c r="K47" s="7" t="s">
        <v>43</v>
      </c>
      <c r="L47" s="7" t="s">
        <v>44</v>
      </c>
      <c r="M47" s="7"/>
      <c r="N47" s="7"/>
    </row>
    <row r="48" customFormat="false" ht="23.85" hidden="false" customHeight="false" outlineLevel="0" collapsed="false">
      <c r="A48" s="7" t="n">
        <v>47</v>
      </c>
      <c r="B48" s="8" t="s">
        <v>221</v>
      </c>
      <c r="C48" s="7" t="s">
        <v>12</v>
      </c>
      <c r="D48" s="7" t="s">
        <v>49</v>
      </c>
      <c r="E48" s="10" t="n">
        <v>2</v>
      </c>
      <c r="F48" s="7" t="s">
        <v>63</v>
      </c>
      <c r="G48" s="7" t="s">
        <v>222</v>
      </c>
      <c r="H48" s="7" t="s">
        <v>71</v>
      </c>
      <c r="I48" s="7" t="s">
        <v>56</v>
      </c>
      <c r="J48" s="7" t="s">
        <v>223</v>
      </c>
      <c r="K48" s="7" t="s">
        <v>43</v>
      </c>
      <c r="L48" s="7" t="s">
        <v>44</v>
      </c>
      <c r="M48" s="7"/>
      <c r="N48" s="7"/>
    </row>
    <row r="49" customFormat="false" ht="23.85" hidden="false" customHeight="false" outlineLevel="0" collapsed="false">
      <c r="A49" s="7" t="n">
        <v>48</v>
      </c>
      <c r="B49" s="8" t="s">
        <v>224</v>
      </c>
      <c r="C49" s="7" t="s">
        <v>12</v>
      </c>
      <c r="D49" s="7" t="s">
        <v>49</v>
      </c>
      <c r="E49" s="10" t="n">
        <v>2</v>
      </c>
      <c r="F49" s="7" t="s">
        <v>63</v>
      </c>
      <c r="G49" s="7" t="s">
        <v>225</v>
      </c>
      <c r="H49" s="7" t="s">
        <v>110</v>
      </c>
      <c r="I49" s="7" t="s">
        <v>56</v>
      </c>
      <c r="J49" s="7" t="s">
        <v>226</v>
      </c>
      <c r="K49" s="7" t="s">
        <v>43</v>
      </c>
      <c r="L49" s="7" t="s">
        <v>44</v>
      </c>
      <c r="M49" s="7"/>
      <c r="N49" s="7"/>
    </row>
    <row r="50" customFormat="false" ht="15" hidden="false" customHeight="false" outlineLevel="0" collapsed="false">
      <c r="A50" s="7" t="n">
        <v>49</v>
      </c>
      <c r="B50" s="8" t="s">
        <v>227</v>
      </c>
      <c r="C50" s="7" t="s">
        <v>14</v>
      </c>
      <c r="D50" s="7" t="s">
        <v>228</v>
      </c>
      <c r="E50" s="10" t="n">
        <v>2</v>
      </c>
      <c r="F50" s="7" t="s">
        <v>63</v>
      </c>
      <c r="G50" s="7" t="s">
        <v>229</v>
      </c>
      <c r="H50" s="7" t="s">
        <v>125</v>
      </c>
      <c r="I50" s="7" t="s">
        <v>56</v>
      </c>
      <c r="J50" s="7" t="s">
        <v>230</v>
      </c>
      <c r="K50" s="7" t="s">
        <v>58</v>
      </c>
      <c r="L50" s="7" t="s">
        <v>44</v>
      </c>
      <c r="M50" s="7"/>
      <c r="N50" s="7"/>
    </row>
    <row r="51" customFormat="false" ht="23.85" hidden="false" customHeight="false" outlineLevel="0" collapsed="false">
      <c r="A51" s="7" t="n">
        <v>50</v>
      </c>
      <c r="B51" s="8" t="s">
        <v>231</v>
      </c>
      <c r="C51" s="7" t="s">
        <v>14</v>
      </c>
      <c r="D51" s="7" t="s">
        <v>49</v>
      </c>
      <c r="E51" s="10" t="n">
        <v>2</v>
      </c>
      <c r="F51" s="7" t="s">
        <v>38</v>
      </c>
      <c r="G51" s="7" t="s">
        <v>232</v>
      </c>
      <c r="H51" s="7" t="s">
        <v>95</v>
      </c>
      <c r="I51" s="7" t="s">
        <v>66</v>
      </c>
      <c r="J51" s="7" t="s">
        <v>233</v>
      </c>
      <c r="K51" s="7" t="s">
        <v>43</v>
      </c>
      <c r="L51" s="7" t="s">
        <v>44</v>
      </c>
      <c r="M51" s="7"/>
      <c r="N51" s="7"/>
    </row>
    <row r="52" customFormat="false" ht="23.85" hidden="false" customHeight="false" outlineLevel="0" collapsed="false">
      <c r="A52" s="7" t="n">
        <v>51</v>
      </c>
      <c r="B52" s="8" t="s">
        <v>234</v>
      </c>
      <c r="C52" s="7" t="s">
        <v>13</v>
      </c>
      <c r="D52" s="7" t="s">
        <v>80</v>
      </c>
      <c r="E52" s="10" t="n">
        <v>2</v>
      </c>
      <c r="F52" s="7" t="s">
        <v>63</v>
      </c>
      <c r="G52" s="7" t="s">
        <v>235</v>
      </c>
      <c r="H52" s="7" t="s">
        <v>125</v>
      </c>
      <c r="I52" s="7" t="s">
        <v>56</v>
      </c>
      <c r="J52" s="7" t="s">
        <v>236</v>
      </c>
      <c r="K52" s="7" t="s">
        <v>43</v>
      </c>
      <c r="L52" s="7" t="s">
        <v>44</v>
      </c>
      <c r="M52" s="7"/>
      <c r="N52" s="7"/>
    </row>
    <row r="53" customFormat="false" ht="15" hidden="false" customHeight="false" outlineLevel="0" collapsed="false">
      <c r="A53" s="7" t="n">
        <v>52</v>
      </c>
      <c r="B53" s="8" t="s">
        <v>237</v>
      </c>
      <c r="C53" s="7" t="s">
        <v>13</v>
      </c>
      <c r="D53" s="7" t="s">
        <v>80</v>
      </c>
      <c r="E53" s="10" t="n">
        <v>2</v>
      </c>
      <c r="F53" s="7" t="s">
        <v>63</v>
      </c>
      <c r="G53" s="7" t="s">
        <v>238</v>
      </c>
      <c r="H53" s="7" t="s">
        <v>125</v>
      </c>
      <c r="I53" s="7" t="s">
        <v>56</v>
      </c>
      <c r="J53" s="7" t="s">
        <v>239</v>
      </c>
      <c r="K53" s="7" t="s">
        <v>58</v>
      </c>
      <c r="L53" s="7" t="s">
        <v>44</v>
      </c>
      <c r="M53" s="7"/>
      <c r="N53" s="7"/>
    </row>
    <row r="54" customFormat="false" ht="23.85" hidden="false" customHeight="false" outlineLevel="0" collapsed="false">
      <c r="A54" s="7" t="n">
        <v>53</v>
      </c>
      <c r="B54" s="8" t="s">
        <v>240</v>
      </c>
      <c r="C54" s="7" t="s">
        <v>9</v>
      </c>
      <c r="D54" s="7" t="s">
        <v>49</v>
      </c>
      <c r="E54" s="10" t="n">
        <v>2</v>
      </c>
      <c r="F54" s="7" t="s">
        <v>119</v>
      </c>
      <c r="G54" s="7" t="s">
        <v>241</v>
      </c>
      <c r="H54" s="7" t="s">
        <v>125</v>
      </c>
      <c r="I54" s="7" t="s">
        <v>66</v>
      </c>
      <c r="J54" s="7" t="s">
        <v>242</v>
      </c>
      <c r="K54" s="7" t="s">
        <v>43</v>
      </c>
      <c r="L54" s="7" t="s">
        <v>44</v>
      </c>
      <c r="M54" s="7"/>
      <c r="N54" s="7"/>
    </row>
    <row r="55" customFormat="false" ht="23.85" hidden="false" customHeight="false" outlineLevel="0" collapsed="false">
      <c r="A55" s="7" t="n">
        <v>54</v>
      </c>
      <c r="B55" s="8" t="s">
        <v>243</v>
      </c>
      <c r="C55" s="7" t="s">
        <v>9</v>
      </c>
      <c r="D55" s="7" t="s">
        <v>49</v>
      </c>
      <c r="E55" s="10" t="n">
        <v>2</v>
      </c>
      <c r="F55" s="7" t="s">
        <v>119</v>
      </c>
      <c r="G55" s="7" t="s">
        <v>244</v>
      </c>
      <c r="H55" s="7" t="s">
        <v>133</v>
      </c>
      <c r="I55" s="7" t="s">
        <v>66</v>
      </c>
      <c r="J55" s="7" t="s">
        <v>245</v>
      </c>
      <c r="K55" s="7" t="s">
        <v>43</v>
      </c>
      <c r="L55" s="7" t="s">
        <v>44</v>
      </c>
      <c r="M55" s="7"/>
      <c r="N55" s="7"/>
    </row>
    <row r="56" customFormat="false" ht="23.85" hidden="false" customHeight="false" outlineLevel="0" collapsed="false">
      <c r="A56" s="7" t="n">
        <v>55</v>
      </c>
      <c r="B56" s="8" t="s">
        <v>246</v>
      </c>
      <c r="C56" s="7" t="s">
        <v>9</v>
      </c>
      <c r="D56" s="7" t="s">
        <v>131</v>
      </c>
      <c r="E56" s="10" t="n">
        <v>2</v>
      </c>
      <c r="F56" s="7" t="s">
        <v>119</v>
      </c>
      <c r="G56" s="7" t="s">
        <v>247</v>
      </c>
      <c r="H56" s="7" t="s">
        <v>133</v>
      </c>
      <c r="I56" s="7" t="s">
        <v>66</v>
      </c>
      <c r="J56" s="7" t="s">
        <v>248</v>
      </c>
      <c r="K56" s="7" t="s">
        <v>43</v>
      </c>
      <c r="L56" s="7" t="s">
        <v>44</v>
      </c>
      <c r="M56" s="7"/>
      <c r="N56" s="7"/>
    </row>
    <row r="57" customFormat="false" ht="23.85" hidden="false" customHeight="false" outlineLevel="0" collapsed="false">
      <c r="A57" s="7" t="n">
        <v>56</v>
      </c>
      <c r="B57" s="8" t="s">
        <v>249</v>
      </c>
      <c r="C57" s="7" t="s">
        <v>9</v>
      </c>
      <c r="D57" s="7" t="s">
        <v>165</v>
      </c>
      <c r="E57" s="10" t="n">
        <v>2</v>
      </c>
      <c r="F57" s="7" t="s">
        <v>119</v>
      </c>
      <c r="G57" s="7" t="s">
        <v>250</v>
      </c>
      <c r="H57" s="7" t="s">
        <v>125</v>
      </c>
      <c r="I57" s="7" t="s">
        <v>66</v>
      </c>
      <c r="J57" s="7" t="s">
        <v>251</v>
      </c>
      <c r="K57" s="7" t="s">
        <v>43</v>
      </c>
      <c r="L57" s="7" t="s">
        <v>44</v>
      </c>
      <c r="M57" s="7"/>
      <c r="N57" s="7"/>
    </row>
    <row r="58" customFormat="false" ht="23.85" hidden="false" customHeight="false" outlineLevel="0" collapsed="false">
      <c r="A58" s="7" t="n">
        <v>57</v>
      </c>
      <c r="B58" s="8" t="s">
        <v>252</v>
      </c>
      <c r="C58" s="7" t="s">
        <v>9</v>
      </c>
      <c r="D58" s="7" t="s">
        <v>49</v>
      </c>
      <c r="E58" s="10" t="n">
        <v>2</v>
      </c>
      <c r="F58" s="7" t="s">
        <v>119</v>
      </c>
      <c r="G58" s="7" t="s">
        <v>253</v>
      </c>
      <c r="H58" s="7" t="s">
        <v>125</v>
      </c>
      <c r="I58" s="7" t="s">
        <v>66</v>
      </c>
      <c r="J58" s="7" t="s">
        <v>254</v>
      </c>
      <c r="K58" s="7" t="s">
        <v>43</v>
      </c>
      <c r="L58" s="7" t="s">
        <v>44</v>
      </c>
      <c r="M58" s="7"/>
      <c r="N58" s="7"/>
    </row>
    <row r="59" customFormat="false" ht="23.85" hidden="false" customHeight="false" outlineLevel="0" collapsed="false">
      <c r="A59" s="7" t="n">
        <v>58</v>
      </c>
      <c r="B59" s="8" t="s">
        <v>255</v>
      </c>
      <c r="C59" s="7" t="s">
        <v>9</v>
      </c>
      <c r="D59" s="7" t="s">
        <v>118</v>
      </c>
      <c r="E59" s="10" t="n">
        <v>2</v>
      </c>
      <c r="F59" s="7" t="s">
        <v>119</v>
      </c>
      <c r="G59" s="7" t="s">
        <v>256</v>
      </c>
      <c r="H59" s="7" t="s">
        <v>125</v>
      </c>
      <c r="I59" s="7" t="s">
        <v>66</v>
      </c>
      <c r="J59" s="7" t="s">
        <v>257</v>
      </c>
      <c r="K59" s="7" t="s">
        <v>43</v>
      </c>
      <c r="L59" s="7" t="s">
        <v>44</v>
      </c>
      <c r="M59" s="7"/>
      <c r="N59" s="7"/>
    </row>
    <row r="60" customFormat="false" ht="23.85" hidden="false" customHeight="false" outlineLevel="0" collapsed="false">
      <c r="A60" s="7" t="n">
        <v>59</v>
      </c>
      <c r="B60" s="8" t="s">
        <v>258</v>
      </c>
      <c r="C60" s="7" t="s">
        <v>11</v>
      </c>
      <c r="D60" s="7" t="s">
        <v>49</v>
      </c>
      <c r="E60" s="10" t="n">
        <v>2</v>
      </c>
      <c r="F60" s="7" t="s">
        <v>63</v>
      </c>
      <c r="G60" s="7" t="s">
        <v>259</v>
      </c>
      <c r="H60" s="7" t="s">
        <v>125</v>
      </c>
      <c r="I60" s="7" t="s">
        <v>66</v>
      </c>
      <c r="J60" s="7" t="s">
        <v>260</v>
      </c>
      <c r="K60" s="7" t="s">
        <v>43</v>
      </c>
      <c r="L60" s="7" t="s">
        <v>44</v>
      </c>
      <c r="M60" s="7"/>
      <c r="N60" s="7"/>
    </row>
    <row r="61" customFormat="false" ht="23.85" hidden="false" customHeight="false" outlineLevel="0" collapsed="false">
      <c r="A61" s="7" t="n">
        <v>60</v>
      </c>
      <c r="B61" s="8" t="s">
        <v>261</v>
      </c>
      <c r="C61" s="7" t="s">
        <v>7</v>
      </c>
      <c r="D61" s="7" t="s">
        <v>49</v>
      </c>
      <c r="E61" s="11" t="n">
        <v>3</v>
      </c>
      <c r="F61" s="7" t="s">
        <v>63</v>
      </c>
      <c r="G61" s="7" t="s">
        <v>262</v>
      </c>
      <c r="H61" s="7" t="s">
        <v>263</v>
      </c>
      <c r="I61" s="7" t="s">
        <v>66</v>
      </c>
      <c r="J61" s="7" t="s">
        <v>264</v>
      </c>
      <c r="K61" s="7" t="s">
        <v>43</v>
      </c>
      <c r="L61" s="7" t="s">
        <v>44</v>
      </c>
      <c r="M61" s="7"/>
      <c r="N61" s="7"/>
    </row>
    <row r="62" customFormat="false" ht="23.85" hidden="false" customHeight="false" outlineLevel="0" collapsed="false">
      <c r="A62" s="7" t="n">
        <v>61</v>
      </c>
      <c r="B62" s="8" t="s">
        <v>265</v>
      </c>
      <c r="C62" s="7" t="s">
        <v>7</v>
      </c>
      <c r="D62" s="7" t="s">
        <v>49</v>
      </c>
      <c r="E62" s="11" t="n">
        <v>3</v>
      </c>
      <c r="F62" s="7" t="s">
        <v>63</v>
      </c>
      <c r="G62" s="7" t="s">
        <v>266</v>
      </c>
      <c r="H62" s="7" t="s">
        <v>263</v>
      </c>
      <c r="I62" s="7" t="s">
        <v>66</v>
      </c>
      <c r="J62" s="7" t="s">
        <v>267</v>
      </c>
      <c r="K62" s="7" t="s">
        <v>43</v>
      </c>
      <c r="L62" s="7" t="s">
        <v>44</v>
      </c>
      <c r="M62" s="7"/>
      <c r="N62" s="7"/>
    </row>
    <row r="63" customFormat="false" ht="23.85" hidden="false" customHeight="false" outlineLevel="0" collapsed="false">
      <c r="A63" s="7" t="n">
        <v>62</v>
      </c>
      <c r="B63" s="8" t="s">
        <v>268</v>
      </c>
      <c r="C63" s="7" t="s">
        <v>7</v>
      </c>
      <c r="D63" s="7" t="s">
        <v>21</v>
      </c>
      <c r="E63" s="11" t="n">
        <v>3</v>
      </c>
      <c r="F63" s="7" t="s">
        <v>63</v>
      </c>
      <c r="G63" s="7" t="s">
        <v>269</v>
      </c>
      <c r="H63" s="7" t="s">
        <v>263</v>
      </c>
      <c r="I63" s="7" t="s">
        <v>66</v>
      </c>
      <c r="J63" s="7" t="s">
        <v>270</v>
      </c>
      <c r="K63" s="7" t="s">
        <v>43</v>
      </c>
      <c r="L63" s="7" t="s">
        <v>44</v>
      </c>
      <c r="M63" s="7"/>
      <c r="N63" s="7"/>
    </row>
    <row r="64" customFormat="false" ht="15" hidden="false" customHeight="false" outlineLevel="0" collapsed="false">
      <c r="A64" s="7" t="n">
        <v>63</v>
      </c>
      <c r="B64" s="8" t="s">
        <v>271</v>
      </c>
      <c r="C64" s="7" t="s">
        <v>7</v>
      </c>
      <c r="D64" s="7" t="s">
        <v>21</v>
      </c>
      <c r="E64" s="11" t="n">
        <v>3</v>
      </c>
      <c r="F64" s="7" t="s">
        <v>272</v>
      </c>
      <c r="G64" s="7" t="s">
        <v>273</v>
      </c>
      <c r="H64" s="7" t="s">
        <v>55</v>
      </c>
      <c r="I64" s="7" t="s">
        <v>56</v>
      </c>
      <c r="J64" s="7" t="s">
        <v>67</v>
      </c>
      <c r="K64" s="7" t="s">
        <v>58</v>
      </c>
      <c r="L64" s="7" t="s">
        <v>44</v>
      </c>
      <c r="M64" s="7"/>
      <c r="N64" s="7"/>
    </row>
    <row r="65" customFormat="false" ht="23.85" hidden="false" customHeight="false" outlineLevel="0" collapsed="false">
      <c r="A65" s="7" t="n">
        <v>64</v>
      </c>
      <c r="B65" s="8" t="s">
        <v>274</v>
      </c>
      <c r="C65" s="7" t="s">
        <v>7</v>
      </c>
      <c r="D65" s="7" t="s">
        <v>21</v>
      </c>
      <c r="E65" s="11" t="n">
        <v>3</v>
      </c>
      <c r="F65" s="7" t="s">
        <v>63</v>
      </c>
      <c r="G65" s="7" t="s">
        <v>275</v>
      </c>
      <c r="H65" s="7" t="s">
        <v>71</v>
      </c>
      <c r="I65" s="7" t="s">
        <v>56</v>
      </c>
      <c r="J65" s="7" t="s">
        <v>67</v>
      </c>
      <c r="K65" s="7" t="s">
        <v>58</v>
      </c>
      <c r="L65" s="7" t="s">
        <v>44</v>
      </c>
      <c r="M65" s="7"/>
      <c r="N65" s="7"/>
    </row>
    <row r="66" customFormat="false" ht="23.85" hidden="false" customHeight="false" outlineLevel="0" collapsed="false">
      <c r="A66" s="7" t="n">
        <v>65</v>
      </c>
      <c r="B66" s="8" t="s">
        <v>276</v>
      </c>
      <c r="C66" s="7" t="s">
        <v>7</v>
      </c>
      <c r="D66" s="7" t="s">
        <v>21</v>
      </c>
      <c r="E66" s="11" t="n">
        <v>3</v>
      </c>
      <c r="F66" s="7" t="s">
        <v>63</v>
      </c>
      <c r="G66" s="7" t="s">
        <v>277</v>
      </c>
      <c r="H66" s="7" t="s">
        <v>125</v>
      </c>
      <c r="I66" s="7" t="s">
        <v>56</v>
      </c>
      <c r="J66" s="7" t="s">
        <v>278</v>
      </c>
      <c r="K66" s="7" t="s">
        <v>43</v>
      </c>
      <c r="L66" s="7" t="s">
        <v>44</v>
      </c>
      <c r="M66" s="7"/>
      <c r="N66" s="7"/>
    </row>
    <row r="67" customFormat="false" ht="23.85" hidden="false" customHeight="false" outlineLevel="0" collapsed="false">
      <c r="A67" s="7" t="n">
        <v>66</v>
      </c>
      <c r="B67" s="8" t="s">
        <v>279</v>
      </c>
      <c r="C67" s="7" t="s">
        <v>10</v>
      </c>
      <c r="D67" s="7" t="s">
        <v>49</v>
      </c>
      <c r="E67" s="11" t="n">
        <v>3</v>
      </c>
      <c r="F67" s="7" t="s">
        <v>158</v>
      </c>
      <c r="G67" s="7" t="s">
        <v>280</v>
      </c>
      <c r="H67" s="7" t="s">
        <v>281</v>
      </c>
      <c r="I67" s="7" t="s">
        <v>66</v>
      </c>
      <c r="J67" s="7" t="s">
        <v>282</v>
      </c>
      <c r="K67" s="7" t="s">
        <v>43</v>
      </c>
      <c r="L67" s="7" t="s">
        <v>44</v>
      </c>
      <c r="M67" s="7"/>
      <c r="N67" s="7"/>
    </row>
    <row r="68" customFormat="false" ht="23.85" hidden="false" customHeight="false" outlineLevel="0" collapsed="false">
      <c r="A68" s="7" t="n">
        <v>67</v>
      </c>
      <c r="B68" s="8" t="s">
        <v>283</v>
      </c>
      <c r="C68" s="7" t="s">
        <v>10</v>
      </c>
      <c r="D68" s="7" t="s">
        <v>49</v>
      </c>
      <c r="E68" s="11" t="n">
        <v>3</v>
      </c>
      <c r="F68" s="7" t="s">
        <v>158</v>
      </c>
      <c r="G68" s="7" t="s">
        <v>284</v>
      </c>
      <c r="H68" s="7" t="s">
        <v>281</v>
      </c>
      <c r="I68" s="7" t="s">
        <v>66</v>
      </c>
      <c r="J68" s="7" t="s">
        <v>285</v>
      </c>
      <c r="K68" s="7" t="s">
        <v>43</v>
      </c>
      <c r="L68" s="7" t="s">
        <v>44</v>
      </c>
      <c r="M68" s="7"/>
      <c r="N68" s="7"/>
    </row>
    <row r="69" customFormat="false" ht="23.85" hidden="false" customHeight="false" outlineLevel="0" collapsed="false">
      <c r="A69" s="7" t="n">
        <v>68</v>
      </c>
      <c r="B69" s="8" t="s">
        <v>286</v>
      </c>
      <c r="C69" s="7" t="s">
        <v>10</v>
      </c>
      <c r="D69" s="7" t="s">
        <v>49</v>
      </c>
      <c r="E69" s="11" t="n">
        <v>3</v>
      </c>
      <c r="F69" s="7" t="s">
        <v>158</v>
      </c>
      <c r="G69" s="7" t="s">
        <v>284</v>
      </c>
      <c r="H69" s="7" t="s">
        <v>281</v>
      </c>
      <c r="I69" s="7" t="s">
        <v>66</v>
      </c>
      <c r="J69" s="7" t="s">
        <v>287</v>
      </c>
      <c r="K69" s="7" t="s">
        <v>43</v>
      </c>
      <c r="L69" s="7" t="s">
        <v>44</v>
      </c>
      <c r="M69" s="7"/>
      <c r="N69" s="7"/>
    </row>
    <row r="70" customFormat="false" ht="23.85" hidden="false" customHeight="false" outlineLevel="0" collapsed="false">
      <c r="A70" s="7" t="n">
        <v>69</v>
      </c>
      <c r="B70" s="8" t="s">
        <v>288</v>
      </c>
      <c r="C70" s="7" t="s">
        <v>10</v>
      </c>
      <c r="D70" s="7" t="s">
        <v>49</v>
      </c>
      <c r="E70" s="11" t="n">
        <v>3</v>
      </c>
      <c r="F70" s="7" t="s">
        <v>158</v>
      </c>
      <c r="G70" s="7" t="s">
        <v>289</v>
      </c>
      <c r="H70" s="7" t="s">
        <v>290</v>
      </c>
      <c r="I70" s="7" t="s">
        <v>66</v>
      </c>
      <c r="J70" s="7" t="s">
        <v>291</v>
      </c>
      <c r="K70" s="7" t="s">
        <v>43</v>
      </c>
      <c r="L70" s="7" t="s">
        <v>44</v>
      </c>
      <c r="M70" s="7"/>
      <c r="N70" s="7"/>
    </row>
    <row r="71" customFormat="false" ht="23.85" hidden="false" customHeight="false" outlineLevel="0" collapsed="false">
      <c r="A71" s="7" t="n">
        <v>70</v>
      </c>
      <c r="B71" s="8" t="s">
        <v>292</v>
      </c>
      <c r="C71" s="7" t="s">
        <v>5</v>
      </c>
      <c r="D71" s="7" t="s">
        <v>49</v>
      </c>
      <c r="E71" s="11" t="n">
        <v>3</v>
      </c>
      <c r="F71" s="7" t="s">
        <v>63</v>
      </c>
      <c r="G71" s="7" t="s">
        <v>293</v>
      </c>
      <c r="H71" s="7" t="s">
        <v>125</v>
      </c>
      <c r="I71" s="7" t="s">
        <v>66</v>
      </c>
      <c r="J71" s="7" t="s">
        <v>294</v>
      </c>
      <c r="K71" s="7" t="s">
        <v>43</v>
      </c>
      <c r="L71" s="7" t="s">
        <v>44</v>
      </c>
      <c r="M71" s="7"/>
      <c r="N71" s="7"/>
    </row>
    <row r="72" customFormat="false" ht="23.85" hidden="false" customHeight="false" outlineLevel="0" collapsed="false">
      <c r="A72" s="7" t="n">
        <v>71</v>
      </c>
      <c r="B72" s="8" t="s">
        <v>295</v>
      </c>
      <c r="C72" s="7" t="s">
        <v>5</v>
      </c>
      <c r="D72" s="7" t="s">
        <v>18</v>
      </c>
      <c r="E72" s="11" t="n">
        <v>3</v>
      </c>
      <c r="F72" s="7" t="s">
        <v>63</v>
      </c>
      <c r="G72" s="7" t="s">
        <v>296</v>
      </c>
      <c r="H72" s="7" t="s">
        <v>125</v>
      </c>
      <c r="I72" s="7" t="s">
        <v>66</v>
      </c>
      <c r="J72" s="7" t="s">
        <v>297</v>
      </c>
      <c r="K72" s="7" t="s">
        <v>43</v>
      </c>
      <c r="L72" s="7" t="s">
        <v>44</v>
      </c>
      <c r="M72" s="7"/>
      <c r="N72" s="7"/>
    </row>
    <row r="73" customFormat="false" ht="23.85" hidden="false" customHeight="false" outlineLevel="0" collapsed="false">
      <c r="A73" s="7" t="n">
        <v>72</v>
      </c>
      <c r="B73" s="8" t="s">
        <v>298</v>
      </c>
      <c r="C73" s="7" t="s">
        <v>5</v>
      </c>
      <c r="D73" s="7" t="s">
        <v>18</v>
      </c>
      <c r="E73" s="11" t="n">
        <v>3</v>
      </c>
      <c r="F73" s="7" t="s">
        <v>63</v>
      </c>
      <c r="G73" s="7" t="s">
        <v>299</v>
      </c>
      <c r="H73" s="7" t="s">
        <v>125</v>
      </c>
      <c r="I73" s="7" t="s">
        <v>66</v>
      </c>
      <c r="J73" s="7" t="s">
        <v>300</v>
      </c>
      <c r="K73" s="7" t="s">
        <v>43</v>
      </c>
      <c r="L73" s="7" t="s">
        <v>44</v>
      </c>
      <c r="M73" s="7"/>
      <c r="N73" s="7"/>
    </row>
    <row r="74" customFormat="false" ht="23.85" hidden="false" customHeight="false" outlineLevel="0" collapsed="false">
      <c r="A74" s="7" t="n">
        <v>73</v>
      </c>
      <c r="B74" s="8" t="s">
        <v>301</v>
      </c>
      <c r="C74" s="7" t="s">
        <v>5</v>
      </c>
      <c r="D74" s="7" t="s">
        <v>18</v>
      </c>
      <c r="E74" s="11" t="n">
        <v>3</v>
      </c>
      <c r="F74" s="7" t="s">
        <v>272</v>
      </c>
      <c r="G74" s="7" t="s">
        <v>299</v>
      </c>
      <c r="H74" s="7" t="s">
        <v>125</v>
      </c>
      <c r="I74" s="7" t="s">
        <v>66</v>
      </c>
      <c r="J74" s="7" t="s">
        <v>302</v>
      </c>
      <c r="K74" s="7" t="s">
        <v>43</v>
      </c>
      <c r="L74" s="7" t="s">
        <v>44</v>
      </c>
      <c r="M74" s="7"/>
      <c r="N74" s="7"/>
    </row>
    <row r="75" customFormat="false" ht="23.85" hidden="false" customHeight="false" outlineLevel="0" collapsed="false">
      <c r="A75" s="7" t="n">
        <v>74</v>
      </c>
      <c r="B75" s="8" t="s">
        <v>303</v>
      </c>
      <c r="C75" s="7" t="s">
        <v>5</v>
      </c>
      <c r="D75" s="7" t="s">
        <v>18</v>
      </c>
      <c r="E75" s="11" t="n">
        <v>3</v>
      </c>
      <c r="F75" s="7" t="s">
        <v>272</v>
      </c>
      <c r="G75" s="7" t="s">
        <v>304</v>
      </c>
      <c r="H75" s="7" t="s">
        <v>125</v>
      </c>
      <c r="I75" s="7" t="s">
        <v>66</v>
      </c>
      <c r="J75" s="7" t="s">
        <v>305</v>
      </c>
      <c r="K75" s="7" t="s">
        <v>43</v>
      </c>
      <c r="L75" s="7" t="s">
        <v>44</v>
      </c>
      <c r="M75" s="7"/>
      <c r="N75" s="7"/>
    </row>
    <row r="76" customFormat="false" ht="15" hidden="false" customHeight="false" outlineLevel="0" collapsed="false">
      <c r="A76" s="7" t="n">
        <v>75</v>
      </c>
      <c r="B76" s="8" t="s">
        <v>306</v>
      </c>
      <c r="C76" s="7" t="s">
        <v>5</v>
      </c>
      <c r="D76" s="7" t="s">
        <v>19</v>
      </c>
      <c r="E76" s="11" t="n">
        <v>3</v>
      </c>
      <c r="F76" s="7" t="s">
        <v>63</v>
      </c>
      <c r="G76" s="7" t="s">
        <v>307</v>
      </c>
      <c r="H76" s="7" t="s">
        <v>190</v>
      </c>
      <c r="I76" s="7" t="s">
        <v>56</v>
      </c>
      <c r="J76" s="7" t="s">
        <v>308</v>
      </c>
      <c r="K76" s="7" t="s">
        <v>58</v>
      </c>
      <c r="L76" s="7" t="s">
        <v>44</v>
      </c>
      <c r="M76" s="7"/>
      <c r="N76" s="7"/>
    </row>
    <row r="77" customFormat="false" ht="15" hidden="false" customHeight="false" outlineLevel="0" collapsed="false">
      <c r="A77" s="7" t="n">
        <v>76</v>
      </c>
      <c r="B77" s="8" t="s">
        <v>309</v>
      </c>
      <c r="C77" s="7" t="s">
        <v>5</v>
      </c>
      <c r="D77" s="7" t="s">
        <v>19</v>
      </c>
      <c r="E77" s="11" t="n">
        <v>3</v>
      </c>
      <c r="F77" s="7" t="s">
        <v>63</v>
      </c>
      <c r="G77" s="7" t="s">
        <v>310</v>
      </c>
      <c r="H77" s="7" t="s">
        <v>190</v>
      </c>
      <c r="I77" s="7" t="s">
        <v>56</v>
      </c>
      <c r="J77" s="7" t="s">
        <v>311</v>
      </c>
      <c r="K77" s="7" t="s">
        <v>58</v>
      </c>
      <c r="L77" s="7" t="s">
        <v>44</v>
      </c>
      <c r="M77" s="7"/>
      <c r="N77" s="7"/>
    </row>
    <row r="78" customFormat="false" ht="23.85" hidden="false" customHeight="false" outlineLevel="0" collapsed="false">
      <c r="A78" s="7" t="n">
        <v>77</v>
      </c>
      <c r="B78" s="8" t="s">
        <v>312</v>
      </c>
      <c r="C78" s="7" t="s">
        <v>5</v>
      </c>
      <c r="D78" s="7" t="s">
        <v>19</v>
      </c>
      <c r="E78" s="11" t="n">
        <v>3</v>
      </c>
      <c r="F78" s="7" t="s">
        <v>63</v>
      </c>
      <c r="G78" s="7" t="s">
        <v>313</v>
      </c>
      <c r="H78" s="7" t="s">
        <v>190</v>
      </c>
      <c r="I78" s="7" t="s">
        <v>56</v>
      </c>
      <c r="J78" s="7" t="s">
        <v>314</v>
      </c>
      <c r="K78" s="7" t="s">
        <v>43</v>
      </c>
      <c r="L78" s="7" t="s">
        <v>44</v>
      </c>
      <c r="M78" s="7"/>
      <c r="N78" s="7"/>
    </row>
    <row r="79" customFormat="false" ht="23.85" hidden="false" customHeight="false" outlineLevel="0" collapsed="false">
      <c r="A79" s="7" t="n">
        <v>78</v>
      </c>
      <c r="B79" s="8" t="s">
        <v>315</v>
      </c>
      <c r="C79" s="7" t="s">
        <v>5</v>
      </c>
      <c r="D79" s="7" t="s">
        <v>20</v>
      </c>
      <c r="E79" s="11" t="n">
        <v>3</v>
      </c>
      <c r="F79" s="7" t="s">
        <v>63</v>
      </c>
      <c r="G79" s="7" t="s">
        <v>316</v>
      </c>
      <c r="H79" s="7" t="s">
        <v>125</v>
      </c>
      <c r="I79" s="7" t="s">
        <v>66</v>
      </c>
      <c r="J79" s="7" t="s">
        <v>317</v>
      </c>
      <c r="K79" s="7" t="s">
        <v>43</v>
      </c>
      <c r="L79" s="7" t="s">
        <v>44</v>
      </c>
      <c r="M79" s="7"/>
      <c r="N79" s="7"/>
    </row>
    <row r="80" customFormat="false" ht="23.85" hidden="false" customHeight="false" outlineLevel="0" collapsed="false">
      <c r="A80" s="7" t="n">
        <v>79</v>
      </c>
      <c r="B80" s="8" t="s">
        <v>318</v>
      </c>
      <c r="C80" s="7" t="s">
        <v>5</v>
      </c>
      <c r="D80" s="7" t="s">
        <v>20</v>
      </c>
      <c r="E80" s="11" t="n">
        <v>3</v>
      </c>
      <c r="F80" s="7" t="s">
        <v>63</v>
      </c>
      <c r="G80" s="7" t="s">
        <v>319</v>
      </c>
      <c r="H80" s="7" t="s">
        <v>125</v>
      </c>
      <c r="I80" s="7" t="s">
        <v>66</v>
      </c>
      <c r="J80" s="7" t="s">
        <v>320</v>
      </c>
      <c r="K80" s="7" t="s">
        <v>43</v>
      </c>
      <c r="L80" s="7" t="s">
        <v>44</v>
      </c>
      <c r="M80" s="7"/>
      <c r="N80" s="7"/>
    </row>
    <row r="81" customFormat="false" ht="23.85" hidden="false" customHeight="false" outlineLevel="0" collapsed="false">
      <c r="A81" s="7" t="n">
        <v>80</v>
      </c>
      <c r="B81" s="8" t="s">
        <v>321</v>
      </c>
      <c r="C81" s="7" t="s">
        <v>6</v>
      </c>
      <c r="D81" s="7" t="s">
        <v>49</v>
      </c>
      <c r="E81" s="11" t="n">
        <v>3</v>
      </c>
      <c r="F81" s="7" t="s">
        <v>63</v>
      </c>
      <c r="G81" s="7" t="s">
        <v>322</v>
      </c>
      <c r="H81" s="7" t="s">
        <v>110</v>
      </c>
      <c r="I81" s="7" t="s">
        <v>323</v>
      </c>
      <c r="J81" s="7" t="s">
        <v>324</v>
      </c>
      <c r="K81" s="7" t="s">
        <v>43</v>
      </c>
      <c r="L81" s="7" t="s">
        <v>44</v>
      </c>
      <c r="M81" s="7"/>
      <c r="N81" s="7"/>
    </row>
    <row r="82" customFormat="false" ht="23.85" hidden="false" customHeight="false" outlineLevel="0" collapsed="false">
      <c r="A82" s="7" t="n">
        <v>81</v>
      </c>
      <c r="B82" s="8" t="s">
        <v>325</v>
      </c>
      <c r="C82" s="7" t="s">
        <v>6</v>
      </c>
      <c r="D82" s="7" t="s">
        <v>21</v>
      </c>
      <c r="E82" s="11" t="n">
        <v>3</v>
      </c>
      <c r="F82" s="7" t="s">
        <v>63</v>
      </c>
      <c r="G82" s="7" t="s">
        <v>326</v>
      </c>
      <c r="H82" s="7" t="s">
        <v>125</v>
      </c>
      <c r="I82" s="7" t="s">
        <v>66</v>
      </c>
      <c r="J82" s="7" t="s">
        <v>327</v>
      </c>
      <c r="K82" s="7" t="s">
        <v>43</v>
      </c>
      <c r="L82" s="7" t="s">
        <v>44</v>
      </c>
      <c r="M82" s="7"/>
      <c r="N82" s="7"/>
    </row>
    <row r="83" customFormat="false" ht="23.85" hidden="false" customHeight="false" outlineLevel="0" collapsed="false">
      <c r="A83" s="7" t="n">
        <v>82</v>
      </c>
      <c r="B83" s="8" t="s">
        <v>328</v>
      </c>
      <c r="C83" s="7" t="s">
        <v>6</v>
      </c>
      <c r="D83" s="7" t="s">
        <v>21</v>
      </c>
      <c r="E83" s="11" t="n">
        <v>3</v>
      </c>
      <c r="F83" s="7" t="s">
        <v>63</v>
      </c>
      <c r="G83" s="7" t="s">
        <v>206</v>
      </c>
      <c r="H83" s="7" t="s">
        <v>125</v>
      </c>
      <c r="I83" s="7" t="s">
        <v>66</v>
      </c>
      <c r="J83" s="7" t="s">
        <v>329</v>
      </c>
      <c r="K83" s="7" t="s">
        <v>43</v>
      </c>
      <c r="L83" s="7" t="s">
        <v>44</v>
      </c>
      <c r="M83" s="7"/>
      <c r="N83" s="7"/>
    </row>
    <row r="84" customFormat="false" ht="23.85" hidden="false" customHeight="false" outlineLevel="0" collapsed="false">
      <c r="A84" s="7" t="n">
        <v>83</v>
      </c>
      <c r="B84" s="8" t="s">
        <v>330</v>
      </c>
      <c r="C84" s="7" t="s">
        <v>6</v>
      </c>
      <c r="D84" s="7" t="s">
        <v>21</v>
      </c>
      <c r="E84" s="11" t="n">
        <v>3</v>
      </c>
      <c r="F84" s="7" t="s">
        <v>63</v>
      </c>
      <c r="G84" s="7" t="s">
        <v>331</v>
      </c>
      <c r="H84" s="7" t="s">
        <v>332</v>
      </c>
      <c r="I84" s="7" t="s">
        <v>66</v>
      </c>
      <c r="J84" s="7" t="s">
        <v>333</v>
      </c>
      <c r="K84" s="7" t="s">
        <v>43</v>
      </c>
      <c r="L84" s="7" t="s">
        <v>44</v>
      </c>
      <c r="M84" s="7"/>
      <c r="N84" s="7"/>
    </row>
    <row r="85" customFormat="false" ht="23.85" hidden="false" customHeight="false" outlineLevel="0" collapsed="false">
      <c r="A85" s="7" t="n">
        <v>84</v>
      </c>
      <c r="B85" s="8" t="s">
        <v>334</v>
      </c>
      <c r="C85" s="7" t="s">
        <v>8</v>
      </c>
      <c r="D85" s="7" t="s">
        <v>20</v>
      </c>
      <c r="E85" s="11" t="n">
        <v>3</v>
      </c>
      <c r="F85" s="7" t="s">
        <v>63</v>
      </c>
      <c r="G85" s="7" t="s">
        <v>335</v>
      </c>
      <c r="H85" s="7" t="s">
        <v>125</v>
      </c>
      <c r="I85" s="7" t="s">
        <v>66</v>
      </c>
      <c r="J85" s="7" t="s">
        <v>336</v>
      </c>
      <c r="K85" s="7" t="s">
        <v>43</v>
      </c>
      <c r="L85" s="7" t="s">
        <v>44</v>
      </c>
      <c r="M85" s="7"/>
      <c r="N85" s="7"/>
    </row>
    <row r="86" customFormat="false" ht="23.85" hidden="false" customHeight="false" outlineLevel="0" collapsed="false">
      <c r="A86" s="7" t="n">
        <v>85</v>
      </c>
      <c r="B86" s="8" t="s">
        <v>337</v>
      </c>
      <c r="C86" s="7" t="s">
        <v>12</v>
      </c>
      <c r="D86" s="7" t="s">
        <v>49</v>
      </c>
      <c r="E86" s="11" t="n">
        <v>3</v>
      </c>
      <c r="F86" s="7" t="s">
        <v>272</v>
      </c>
      <c r="G86" s="7" t="s">
        <v>338</v>
      </c>
      <c r="H86" s="7" t="s">
        <v>110</v>
      </c>
      <c r="I86" s="7" t="s">
        <v>56</v>
      </c>
      <c r="J86" s="7" t="s">
        <v>339</v>
      </c>
      <c r="K86" s="7" t="s">
        <v>43</v>
      </c>
      <c r="L86" s="7" t="s">
        <v>44</v>
      </c>
      <c r="M86" s="7"/>
      <c r="N86" s="7"/>
    </row>
    <row r="87" customFormat="false" ht="23.85" hidden="false" customHeight="false" outlineLevel="0" collapsed="false">
      <c r="A87" s="7" t="n">
        <v>86</v>
      </c>
      <c r="B87" s="8" t="s">
        <v>340</v>
      </c>
      <c r="C87" s="7" t="s">
        <v>14</v>
      </c>
      <c r="D87" s="7" t="s">
        <v>49</v>
      </c>
      <c r="E87" s="11" t="n">
        <v>3</v>
      </c>
      <c r="F87" s="7" t="s">
        <v>272</v>
      </c>
      <c r="G87" s="7" t="s">
        <v>341</v>
      </c>
      <c r="H87" s="7" t="s">
        <v>342</v>
      </c>
      <c r="I87" s="7" t="s">
        <v>56</v>
      </c>
      <c r="J87" s="7" t="s">
        <v>343</v>
      </c>
      <c r="K87" s="7" t="s">
        <v>43</v>
      </c>
      <c r="L87" s="7" t="s">
        <v>44</v>
      </c>
      <c r="M87" s="7"/>
      <c r="N87" s="7"/>
    </row>
    <row r="88" customFormat="false" ht="23.85" hidden="false" customHeight="false" outlineLevel="0" collapsed="false">
      <c r="A88" s="7" t="n">
        <v>87</v>
      </c>
      <c r="B88" s="8" t="s">
        <v>344</v>
      </c>
      <c r="C88" s="7" t="s">
        <v>14</v>
      </c>
      <c r="D88" s="7" t="s">
        <v>49</v>
      </c>
      <c r="E88" s="11" t="n">
        <v>3</v>
      </c>
      <c r="F88" s="7" t="s">
        <v>272</v>
      </c>
      <c r="G88" s="7" t="s">
        <v>341</v>
      </c>
      <c r="H88" s="7" t="s">
        <v>133</v>
      </c>
      <c r="I88" s="7" t="s">
        <v>56</v>
      </c>
      <c r="J88" s="7" t="s">
        <v>345</v>
      </c>
      <c r="K88" s="7" t="s">
        <v>43</v>
      </c>
      <c r="L88" s="7" t="s">
        <v>44</v>
      </c>
      <c r="M88" s="7"/>
      <c r="N88" s="7"/>
    </row>
    <row r="89" customFormat="false" ht="23.85" hidden="false" customHeight="false" outlineLevel="0" collapsed="false">
      <c r="A89" s="7" t="n">
        <v>88</v>
      </c>
      <c r="B89" s="8" t="s">
        <v>346</v>
      </c>
      <c r="C89" s="7" t="s">
        <v>14</v>
      </c>
      <c r="D89" s="7" t="s">
        <v>18</v>
      </c>
      <c r="E89" s="11" t="n">
        <v>3</v>
      </c>
      <c r="F89" s="7" t="s">
        <v>272</v>
      </c>
      <c r="G89" s="7" t="s">
        <v>347</v>
      </c>
      <c r="H89" s="7" t="s">
        <v>71</v>
      </c>
      <c r="I89" s="7" t="s">
        <v>56</v>
      </c>
      <c r="J89" s="7" t="s">
        <v>348</v>
      </c>
      <c r="K89" s="7" t="s">
        <v>58</v>
      </c>
      <c r="L89" s="7" t="s">
        <v>44</v>
      </c>
      <c r="M89" s="7"/>
      <c r="N89" s="7"/>
    </row>
    <row r="90" customFormat="false" ht="23.85" hidden="false" customHeight="false" outlineLevel="0" collapsed="false">
      <c r="A90" s="7" t="n">
        <v>89</v>
      </c>
      <c r="B90" s="8" t="s">
        <v>349</v>
      </c>
      <c r="C90" s="7" t="s">
        <v>14</v>
      </c>
      <c r="D90" s="7" t="s">
        <v>80</v>
      </c>
      <c r="E90" s="11" t="n">
        <v>3</v>
      </c>
      <c r="F90" s="7" t="s">
        <v>272</v>
      </c>
      <c r="G90" s="7" t="s">
        <v>350</v>
      </c>
      <c r="H90" s="7" t="s">
        <v>133</v>
      </c>
      <c r="I90" s="7" t="s">
        <v>56</v>
      </c>
      <c r="J90" s="7" t="s">
        <v>351</v>
      </c>
      <c r="K90" s="7" t="s">
        <v>43</v>
      </c>
      <c r="L90" s="7" t="s">
        <v>44</v>
      </c>
      <c r="M90" s="7"/>
      <c r="N90" s="7"/>
    </row>
    <row r="91" customFormat="false" ht="23.85" hidden="false" customHeight="false" outlineLevel="0" collapsed="false">
      <c r="A91" s="7" t="n">
        <v>90</v>
      </c>
      <c r="B91" s="8" t="s">
        <v>352</v>
      </c>
      <c r="C91" s="7" t="s">
        <v>13</v>
      </c>
      <c r="D91" s="7" t="s">
        <v>49</v>
      </c>
      <c r="E91" s="11" t="n">
        <v>3</v>
      </c>
      <c r="F91" s="7" t="s">
        <v>63</v>
      </c>
      <c r="G91" s="7" t="s">
        <v>353</v>
      </c>
      <c r="H91" s="7" t="s">
        <v>125</v>
      </c>
      <c r="I91" s="7" t="s">
        <v>66</v>
      </c>
      <c r="J91" s="7" t="s">
        <v>354</v>
      </c>
      <c r="K91" s="7" t="s">
        <v>43</v>
      </c>
      <c r="L91" s="7" t="s">
        <v>44</v>
      </c>
      <c r="M91" s="7"/>
      <c r="N91" s="7"/>
    </row>
    <row r="92" customFormat="false" ht="23.85" hidden="false" customHeight="false" outlineLevel="0" collapsed="false">
      <c r="A92" s="7" t="n">
        <v>91</v>
      </c>
      <c r="B92" s="8" t="s">
        <v>355</v>
      </c>
      <c r="C92" s="7" t="s">
        <v>13</v>
      </c>
      <c r="D92" s="7" t="s">
        <v>49</v>
      </c>
      <c r="E92" s="11" t="n">
        <v>3</v>
      </c>
      <c r="F92" s="7" t="s">
        <v>63</v>
      </c>
      <c r="G92" s="7" t="s">
        <v>356</v>
      </c>
      <c r="H92" s="7" t="s">
        <v>125</v>
      </c>
      <c r="I92" s="7" t="s">
        <v>66</v>
      </c>
      <c r="J92" s="7" t="s">
        <v>357</v>
      </c>
      <c r="K92" s="7" t="s">
        <v>43</v>
      </c>
      <c r="L92" s="7" t="s">
        <v>44</v>
      </c>
      <c r="M92" s="7"/>
      <c r="N92" s="7"/>
    </row>
    <row r="93" customFormat="false" ht="23.85" hidden="false" customHeight="false" outlineLevel="0" collapsed="false">
      <c r="A93" s="7" t="n">
        <v>92</v>
      </c>
      <c r="B93" s="8" t="s">
        <v>358</v>
      </c>
      <c r="C93" s="7" t="s">
        <v>13</v>
      </c>
      <c r="D93" s="7" t="s">
        <v>49</v>
      </c>
      <c r="E93" s="11" t="n">
        <v>3</v>
      </c>
      <c r="F93" s="7" t="s">
        <v>272</v>
      </c>
      <c r="G93" s="7" t="s">
        <v>359</v>
      </c>
      <c r="H93" s="7" t="s">
        <v>125</v>
      </c>
      <c r="I93" s="7" t="s">
        <v>66</v>
      </c>
      <c r="J93" s="7" t="s">
        <v>360</v>
      </c>
      <c r="K93" s="7" t="s">
        <v>43</v>
      </c>
      <c r="L93" s="7" t="s">
        <v>44</v>
      </c>
      <c r="M93" s="7"/>
      <c r="N93" s="7"/>
    </row>
    <row r="94" customFormat="false" ht="23.85" hidden="false" customHeight="false" outlineLevel="0" collapsed="false">
      <c r="A94" s="7" t="n">
        <v>93</v>
      </c>
      <c r="B94" s="8" t="s">
        <v>361</v>
      </c>
      <c r="C94" s="7" t="s">
        <v>13</v>
      </c>
      <c r="D94" s="7" t="s">
        <v>49</v>
      </c>
      <c r="E94" s="11" t="n">
        <v>3</v>
      </c>
      <c r="F94" s="7" t="s">
        <v>272</v>
      </c>
      <c r="G94" s="7" t="s">
        <v>362</v>
      </c>
      <c r="H94" s="7" t="s">
        <v>125</v>
      </c>
      <c r="I94" s="7" t="s">
        <v>66</v>
      </c>
      <c r="J94" s="7" t="s">
        <v>363</v>
      </c>
      <c r="K94" s="7" t="s">
        <v>43</v>
      </c>
      <c r="L94" s="7" t="s">
        <v>44</v>
      </c>
      <c r="M94" s="7"/>
      <c r="N94" s="7"/>
    </row>
    <row r="95" customFormat="false" ht="23.85" hidden="false" customHeight="false" outlineLevel="0" collapsed="false">
      <c r="A95" s="7" t="n">
        <v>94</v>
      </c>
      <c r="B95" s="8" t="s">
        <v>364</v>
      </c>
      <c r="C95" s="7" t="s">
        <v>13</v>
      </c>
      <c r="D95" s="7" t="s">
        <v>49</v>
      </c>
      <c r="E95" s="11" t="n">
        <v>3</v>
      </c>
      <c r="F95" s="7" t="s">
        <v>272</v>
      </c>
      <c r="G95" s="7" t="s">
        <v>365</v>
      </c>
      <c r="H95" s="7" t="s">
        <v>125</v>
      </c>
      <c r="I95" s="7" t="s">
        <v>66</v>
      </c>
      <c r="J95" s="7" t="s">
        <v>366</v>
      </c>
      <c r="K95" s="7" t="s">
        <v>43</v>
      </c>
      <c r="L95" s="7" t="s">
        <v>44</v>
      </c>
      <c r="M95" s="7"/>
      <c r="N95" s="7"/>
    </row>
    <row r="96" customFormat="false" ht="23.85" hidden="false" customHeight="false" outlineLevel="0" collapsed="false">
      <c r="A96" s="7" t="n">
        <v>95</v>
      </c>
      <c r="B96" s="8" t="s">
        <v>367</v>
      </c>
      <c r="C96" s="7" t="s">
        <v>13</v>
      </c>
      <c r="D96" s="7" t="s">
        <v>49</v>
      </c>
      <c r="E96" s="11" t="n">
        <v>3</v>
      </c>
      <c r="F96" s="7" t="s">
        <v>272</v>
      </c>
      <c r="G96" s="7" t="s">
        <v>365</v>
      </c>
      <c r="H96" s="7" t="s">
        <v>125</v>
      </c>
      <c r="I96" s="7" t="s">
        <v>66</v>
      </c>
      <c r="J96" s="7" t="s">
        <v>368</v>
      </c>
      <c r="K96" s="7" t="s">
        <v>43</v>
      </c>
      <c r="L96" s="7" t="s">
        <v>44</v>
      </c>
      <c r="M96" s="7"/>
      <c r="N96" s="7"/>
    </row>
    <row r="97" customFormat="false" ht="23.85" hidden="false" customHeight="false" outlineLevel="0" collapsed="false">
      <c r="A97" s="7" t="n">
        <v>96</v>
      </c>
      <c r="B97" s="8" t="s">
        <v>369</v>
      </c>
      <c r="C97" s="7" t="s">
        <v>11</v>
      </c>
      <c r="D97" s="7" t="s">
        <v>49</v>
      </c>
      <c r="E97" s="11" t="n">
        <v>3</v>
      </c>
      <c r="F97" s="7" t="s">
        <v>63</v>
      </c>
      <c r="G97" s="7" t="s">
        <v>370</v>
      </c>
      <c r="H97" s="7" t="s">
        <v>125</v>
      </c>
      <c r="I97" s="7" t="s">
        <v>66</v>
      </c>
      <c r="J97" s="7" t="s">
        <v>371</v>
      </c>
      <c r="K97" s="7" t="s">
        <v>43</v>
      </c>
      <c r="L97" s="7" t="s">
        <v>44</v>
      </c>
      <c r="M97" s="7"/>
      <c r="N97" s="7"/>
    </row>
    <row r="98" customFormat="false" ht="23.85" hidden="false" customHeight="false" outlineLevel="0" collapsed="false">
      <c r="A98" s="7" t="n">
        <v>97</v>
      </c>
      <c r="B98" s="8" t="s">
        <v>372</v>
      </c>
      <c r="C98" s="7" t="s">
        <v>11</v>
      </c>
      <c r="D98" s="7" t="s">
        <v>49</v>
      </c>
      <c r="E98" s="11" t="n">
        <v>3</v>
      </c>
      <c r="F98" s="7" t="s">
        <v>63</v>
      </c>
      <c r="G98" s="7" t="s">
        <v>373</v>
      </c>
      <c r="H98" s="7" t="s">
        <v>125</v>
      </c>
      <c r="I98" s="7" t="s">
        <v>66</v>
      </c>
      <c r="J98" s="7" t="s">
        <v>374</v>
      </c>
      <c r="K98" s="7" t="s">
        <v>43</v>
      </c>
      <c r="L98" s="7" t="s">
        <v>44</v>
      </c>
      <c r="M98" s="7"/>
      <c r="N98" s="7"/>
    </row>
    <row r="99" customFormat="false" ht="23.85" hidden="false" customHeight="false" outlineLevel="0" collapsed="false">
      <c r="A99" s="7" t="n">
        <v>98</v>
      </c>
      <c r="B99" s="8" t="s">
        <v>375</v>
      </c>
      <c r="C99" s="7" t="s">
        <v>11</v>
      </c>
      <c r="D99" s="7" t="s">
        <v>49</v>
      </c>
      <c r="E99" s="11" t="n">
        <v>3</v>
      </c>
      <c r="F99" s="7" t="s">
        <v>63</v>
      </c>
      <c r="G99" s="7" t="s">
        <v>370</v>
      </c>
      <c r="H99" s="7" t="s">
        <v>125</v>
      </c>
      <c r="I99" s="7" t="s">
        <v>66</v>
      </c>
      <c r="J99" s="7" t="s">
        <v>376</v>
      </c>
      <c r="K99" s="7" t="s">
        <v>43</v>
      </c>
      <c r="L99" s="7" t="s">
        <v>44</v>
      </c>
      <c r="M99" s="7"/>
      <c r="N99" s="7"/>
    </row>
    <row r="100" customFormat="false" ht="23.85" hidden="false" customHeight="false" outlineLevel="0" collapsed="false">
      <c r="A100" s="7" t="n">
        <v>99</v>
      </c>
      <c r="B100" s="8" t="s">
        <v>377</v>
      </c>
      <c r="C100" s="7" t="s">
        <v>11</v>
      </c>
      <c r="D100" s="7" t="s">
        <v>18</v>
      </c>
      <c r="E100" s="11" t="n">
        <v>3</v>
      </c>
      <c r="F100" s="7" t="s">
        <v>272</v>
      </c>
      <c r="G100" s="7" t="s">
        <v>378</v>
      </c>
      <c r="H100" s="7" t="s">
        <v>125</v>
      </c>
      <c r="I100" s="7" t="s">
        <v>66</v>
      </c>
      <c r="J100" s="7" t="s">
        <v>379</v>
      </c>
      <c r="K100" s="7" t="s">
        <v>43</v>
      </c>
      <c r="L100" s="7" t="s">
        <v>44</v>
      </c>
      <c r="M100" s="7"/>
      <c r="N100" s="7"/>
    </row>
    <row r="101" customFormat="false" ht="23.85" hidden="false" customHeight="false" outlineLevel="0" collapsed="false">
      <c r="A101" s="7" t="n">
        <v>100</v>
      </c>
      <c r="B101" s="8" t="s">
        <v>380</v>
      </c>
      <c r="C101" s="7" t="s">
        <v>11</v>
      </c>
      <c r="D101" s="7" t="s">
        <v>18</v>
      </c>
      <c r="E101" s="11" t="n">
        <v>3</v>
      </c>
      <c r="F101" s="7" t="s">
        <v>272</v>
      </c>
      <c r="G101" s="7" t="s">
        <v>381</v>
      </c>
      <c r="H101" s="7" t="s">
        <v>125</v>
      </c>
      <c r="I101" s="7" t="s">
        <v>66</v>
      </c>
      <c r="J101" s="7" t="s">
        <v>382</v>
      </c>
      <c r="K101" s="7" t="s">
        <v>43</v>
      </c>
      <c r="L101" s="7" t="s">
        <v>44</v>
      </c>
      <c r="M101" s="7"/>
      <c r="N101" s="7"/>
    </row>
    <row r="103" customFormat="false" ht="15" hidden="false" customHeight="false" outlineLevel="0" collapsed="false">
      <c r="B103" s="12" t="s">
        <v>383</v>
      </c>
      <c r="C103" s="12"/>
      <c r="D103" s="12"/>
      <c r="E103" s="12"/>
      <c r="F103" s="12"/>
      <c r="G103" s="12"/>
      <c r="H103" s="12"/>
      <c r="I103" s="12"/>
      <c r="J103" s="12"/>
      <c r="K103" s="12"/>
    </row>
  </sheetData>
  <autoFilter ref="A1:N101"/>
  <mergeCells count="1">
    <mergeCell ref="B103:K103"/>
  </mergeCells>
  <dataValidations count="1">
    <dataValidation allowBlank="true" errorStyle="stop" operator="between" showDropDown="false" showErrorMessage="false" showInputMessage="false" sqref="L2:L101" type="list">
      <formula1>"Por contactar,Contactado,Reunião marcada,Proposta enviada,Fechado,Recusou"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0" hidden="false" customHeight="true" outlineLevel="0" collapsed="false">
      <c r="A1" s="6" t="s">
        <v>1</v>
      </c>
      <c r="B1" s="6" t="s">
        <v>384</v>
      </c>
      <c r="C1" s="6" t="s">
        <v>29</v>
      </c>
      <c r="D1" s="6" t="s">
        <v>385</v>
      </c>
      <c r="E1" s="6" t="s">
        <v>386</v>
      </c>
      <c r="F1" s="6" t="s">
        <v>387</v>
      </c>
    </row>
    <row r="2" customFormat="false" ht="35.05" hidden="false" customHeight="false" outlineLevel="0" collapsed="false">
      <c r="A2" s="8" t="s">
        <v>5</v>
      </c>
      <c r="B2" s="7" t="s">
        <v>388</v>
      </c>
      <c r="C2" s="7" t="s">
        <v>389</v>
      </c>
      <c r="D2" s="7" t="s">
        <v>390</v>
      </c>
      <c r="E2" s="7" t="s">
        <v>391</v>
      </c>
      <c r="F2" s="7" t="s">
        <v>392</v>
      </c>
    </row>
    <row r="3" customFormat="false" ht="35.05" hidden="false" customHeight="false" outlineLevel="0" collapsed="false">
      <c r="A3" s="8" t="s">
        <v>6</v>
      </c>
      <c r="B3" s="7" t="s">
        <v>393</v>
      </c>
      <c r="C3" s="7" t="s">
        <v>394</v>
      </c>
      <c r="D3" s="7" t="s">
        <v>395</v>
      </c>
      <c r="E3" s="7" t="s">
        <v>396</v>
      </c>
      <c r="F3" s="7" t="s">
        <v>397</v>
      </c>
    </row>
    <row r="4" customFormat="false" ht="35.05" hidden="false" customHeight="false" outlineLevel="0" collapsed="false">
      <c r="A4" s="8" t="s">
        <v>7</v>
      </c>
      <c r="B4" s="7" t="s">
        <v>398</v>
      </c>
      <c r="C4" s="7" t="s">
        <v>399</v>
      </c>
      <c r="D4" s="7" t="s">
        <v>400</v>
      </c>
      <c r="E4" s="7" t="s">
        <v>401</v>
      </c>
      <c r="F4" s="7" t="s">
        <v>402</v>
      </c>
    </row>
    <row r="5" customFormat="false" ht="35.05" hidden="false" customHeight="false" outlineLevel="0" collapsed="false">
      <c r="A5" s="8" t="s">
        <v>8</v>
      </c>
      <c r="B5" s="7" t="s">
        <v>403</v>
      </c>
      <c r="C5" s="7" t="s">
        <v>404</v>
      </c>
      <c r="D5" s="7" t="s">
        <v>405</v>
      </c>
      <c r="E5" s="7" t="s">
        <v>406</v>
      </c>
      <c r="F5" s="7" t="s">
        <v>407</v>
      </c>
    </row>
    <row r="6" customFormat="false" ht="23.85" hidden="false" customHeight="false" outlineLevel="0" collapsed="false">
      <c r="A6" s="8" t="s">
        <v>9</v>
      </c>
      <c r="B6" s="7" t="s">
        <v>408</v>
      </c>
      <c r="C6" s="7" t="s">
        <v>409</v>
      </c>
      <c r="D6" s="7" t="s">
        <v>410</v>
      </c>
      <c r="E6" s="7" t="s">
        <v>411</v>
      </c>
      <c r="F6" s="7" t="s">
        <v>412</v>
      </c>
    </row>
    <row r="7" customFormat="false" ht="23.85" hidden="false" customHeight="false" outlineLevel="0" collapsed="false">
      <c r="A7" s="8" t="s">
        <v>10</v>
      </c>
      <c r="B7" s="7" t="s">
        <v>413</v>
      </c>
      <c r="C7" s="7" t="s">
        <v>414</v>
      </c>
      <c r="D7" s="7" t="s">
        <v>415</v>
      </c>
      <c r="E7" s="7" t="s">
        <v>416</v>
      </c>
      <c r="F7" s="7" t="s">
        <v>417</v>
      </c>
    </row>
    <row r="8" customFormat="false" ht="23.85" hidden="false" customHeight="false" outlineLevel="0" collapsed="false">
      <c r="A8" s="8" t="s">
        <v>11</v>
      </c>
      <c r="B8" s="7" t="s">
        <v>418</v>
      </c>
      <c r="C8" s="7" t="s">
        <v>419</v>
      </c>
      <c r="D8" s="7" t="s">
        <v>420</v>
      </c>
      <c r="E8" s="7" t="s">
        <v>63</v>
      </c>
      <c r="F8" s="7" t="s">
        <v>421</v>
      </c>
    </row>
    <row r="9" customFormat="false" ht="23.85" hidden="false" customHeight="false" outlineLevel="0" collapsed="false">
      <c r="A9" s="8" t="s">
        <v>12</v>
      </c>
      <c r="B9" s="7" t="s">
        <v>422</v>
      </c>
      <c r="C9" s="7" t="s">
        <v>423</v>
      </c>
      <c r="D9" s="7" t="s">
        <v>424</v>
      </c>
      <c r="E9" s="7" t="s">
        <v>63</v>
      </c>
      <c r="F9" s="7" t="s">
        <v>425</v>
      </c>
    </row>
    <row r="10" customFormat="false" ht="23.85" hidden="false" customHeight="false" outlineLevel="0" collapsed="false">
      <c r="A10" s="8" t="s">
        <v>13</v>
      </c>
      <c r="B10" s="7" t="s">
        <v>426</v>
      </c>
      <c r="C10" s="7" t="s">
        <v>419</v>
      </c>
      <c r="D10" s="7" t="s">
        <v>424</v>
      </c>
      <c r="E10" s="7" t="s">
        <v>427</v>
      </c>
      <c r="F10" s="7" t="s">
        <v>428</v>
      </c>
    </row>
    <row r="11" customFormat="false" ht="23.85" hidden="false" customHeight="false" outlineLevel="0" collapsed="false">
      <c r="A11" s="8" t="s">
        <v>14</v>
      </c>
      <c r="B11" s="7" t="s">
        <v>429</v>
      </c>
      <c r="C11" s="7" t="s">
        <v>430</v>
      </c>
      <c r="D11" s="7" t="s">
        <v>431</v>
      </c>
      <c r="E11" s="7" t="s">
        <v>432</v>
      </c>
      <c r="F11" s="7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3" t="s">
        <v>434</v>
      </c>
    </row>
    <row r="2" customFormat="false" ht="27.75" hidden="false" customHeight="true" outlineLevel="0" collapsed="false">
      <c r="A2" s="14" t="s">
        <v>435</v>
      </c>
      <c r="B2" s="15" t="s">
        <v>436</v>
      </c>
    </row>
    <row r="3" customFormat="false" ht="27.75" hidden="false" customHeight="true" outlineLevel="0" collapsed="false">
      <c r="A3" s="14" t="s">
        <v>437</v>
      </c>
      <c r="B3" s="15" t="s">
        <v>438</v>
      </c>
    </row>
    <row r="4" customFormat="false" ht="27.75" hidden="false" customHeight="true" outlineLevel="0" collapsed="false">
      <c r="A4" s="14" t="s">
        <v>439</v>
      </c>
      <c r="B4" s="15" t="s">
        <v>440</v>
      </c>
    </row>
    <row r="5" customFormat="false" ht="27.75" hidden="false" customHeight="true" outlineLevel="0" collapsed="false">
      <c r="A5" s="14" t="s">
        <v>441</v>
      </c>
      <c r="B5" s="15" t="s">
        <v>442</v>
      </c>
    </row>
    <row r="6" customFormat="false" ht="27.75" hidden="false" customHeight="true" outlineLevel="0" collapsed="false">
      <c r="A6" s="14" t="s">
        <v>443</v>
      </c>
      <c r="B6" s="15" t="s">
        <v>444</v>
      </c>
    </row>
    <row r="7" customFormat="false" ht="27.75" hidden="false" customHeight="true" outlineLevel="0" collapsed="false">
      <c r="A7" s="14" t="s">
        <v>445</v>
      </c>
      <c r="B7" s="15" t="s">
        <v>446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3" t="s">
        <v>447</v>
      </c>
    </row>
    <row r="10" customFormat="false" ht="27.75" hidden="false" customHeight="true" outlineLevel="0" collapsed="false">
      <c r="A10" s="14" t="s">
        <v>448</v>
      </c>
      <c r="B10" s="15" t="s">
        <v>449</v>
      </c>
    </row>
    <row r="11" customFormat="false" ht="265.5" hidden="false" customHeight="true" outlineLevel="0" collapsed="false">
      <c r="A11" s="14" t="s">
        <v>450</v>
      </c>
      <c r="B11" s="15" t="s">
        <v>451</v>
      </c>
    </row>
    <row r="12" customFormat="false" ht="27.75" hidden="false" customHeight="true" outlineLevel="0" collapsed="false">
      <c r="A12" s="14" t="s">
        <v>452</v>
      </c>
      <c r="B12" s="15" t="s">
        <v>453</v>
      </c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3" t="s">
        <v>454</v>
      </c>
    </row>
    <row r="15" customFormat="false" ht="27.75" hidden="false" customHeight="true" outlineLevel="0" collapsed="false">
      <c r="A15" s="14" t="s">
        <v>455</v>
      </c>
      <c r="B15" s="15" t="s">
        <v>456</v>
      </c>
    </row>
    <row r="16" customFormat="false" ht="265.5" hidden="false" customHeight="true" outlineLevel="0" collapsed="false">
      <c r="A16" s="14" t="s">
        <v>457</v>
      </c>
      <c r="B16" s="15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5" min="5" style="0" width="28"/>
  </cols>
  <sheetData>
    <row r="1" customFormat="false" ht="30" hidden="false" customHeight="true" outlineLevel="0" collapsed="false">
      <c r="A1" s="6" t="s">
        <v>459</v>
      </c>
      <c r="B1" s="6" t="s">
        <v>16</v>
      </c>
      <c r="C1" s="6" t="s">
        <v>460</v>
      </c>
      <c r="D1" s="6" t="s">
        <v>31</v>
      </c>
      <c r="E1" s="6" t="s">
        <v>32</v>
      </c>
    </row>
    <row r="2" customFormat="false" ht="15" hidden="false" customHeight="false" outlineLevel="0" collapsed="false">
      <c r="A2" s="8" t="s">
        <v>461</v>
      </c>
      <c r="B2" s="7" t="s">
        <v>18</v>
      </c>
      <c r="C2" s="7" t="s">
        <v>462</v>
      </c>
      <c r="D2" s="7" t="s">
        <v>463</v>
      </c>
      <c r="E2" s="7" t="s">
        <v>58</v>
      </c>
    </row>
    <row r="3" customFormat="false" ht="23.85" hidden="false" customHeight="false" outlineLevel="0" collapsed="false">
      <c r="A3" s="8" t="s">
        <v>464</v>
      </c>
      <c r="B3" s="7" t="s">
        <v>19</v>
      </c>
      <c r="C3" s="7" t="s">
        <v>465</v>
      </c>
      <c r="D3" s="7" t="s">
        <v>466</v>
      </c>
      <c r="E3" s="7" t="s">
        <v>43</v>
      </c>
    </row>
    <row r="4" customFormat="false" ht="15" hidden="false" customHeight="false" outlineLevel="0" collapsed="false">
      <c r="A4" s="8" t="s">
        <v>467</v>
      </c>
      <c r="B4" s="7" t="s">
        <v>19</v>
      </c>
      <c r="C4" s="7" t="s">
        <v>468</v>
      </c>
      <c r="D4" s="7" t="s">
        <v>469</v>
      </c>
      <c r="E4" s="7" t="s">
        <v>58</v>
      </c>
    </row>
    <row r="5" customFormat="false" ht="15" hidden="false" customHeight="false" outlineLevel="0" collapsed="false">
      <c r="A5" s="8" t="s">
        <v>470</v>
      </c>
      <c r="B5" s="7" t="s">
        <v>19</v>
      </c>
      <c r="C5" s="7" t="s">
        <v>471</v>
      </c>
      <c r="D5" s="7" t="s">
        <v>472</v>
      </c>
      <c r="E5" s="7" t="s">
        <v>58</v>
      </c>
    </row>
    <row r="6" customFormat="false" ht="15" hidden="false" customHeight="false" outlineLevel="0" collapsed="false">
      <c r="A6" s="8" t="s">
        <v>473</v>
      </c>
      <c r="B6" s="7" t="s">
        <v>18</v>
      </c>
      <c r="C6" s="7" t="s">
        <v>474</v>
      </c>
      <c r="D6" s="7" t="s">
        <v>475</v>
      </c>
      <c r="E6" s="7" t="s">
        <v>43</v>
      </c>
    </row>
    <row r="7" customFormat="false" ht="15" hidden="false" customHeight="false" outlineLevel="0" collapsed="false">
      <c r="A7" s="8" t="s">
        <v>476</v>
      </c>
      <c r="B7" s="7" t="s">
        <v>18</v>
      </c>
      <c r="C7" s="7" t="s">
        <v>477</v>
      </c>
      <c r="D7" s="7" t="s">
        <v>478</v>
      </c>
      <c r="E7" s="7" t="s">
        <v>43</v>
      </c>
    </row>
    <row r="8" customFormat="false" ht="15" hidden="false" customHeight="false" outlineLevel="0" collapsed="false">
      <c r="A8" s="8" t="s">
        <v>479</v>
      </c>
      <c r="B8" s="7" t="s">
        <v>21</v>
      </c>
      <c r="C8" s="7" t="s">
        <v>480</v>
      </c>
      <c r="D8" s="7" t="s">
        <v>481</v>
      </c>
      <c r="E8" s="7" t="s">
        <v>58</v>
      </c>
    </row>
    <row r="10" customFormat="false" ht="15" hidden="false" customHeight="false" outlineLevel="0" collapsed="false">
      <c r="A10" s="5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2026-10-23T15:20:44Z</dcterms:created>
  <dc:creator>openpyxl</dc:creator>
  <dc:description/>
  <dc:language>en-US</dc:language>
  <cp:lastModifiedBy/>
  <dcterms:modified xsi:type="dcterms:W3CDTF">2026-10-23T15:20:44Z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